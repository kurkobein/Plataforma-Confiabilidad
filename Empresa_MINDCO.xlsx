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themindconsulting-my.sharepoint.com/personal/felipe_sanchez_mindco_cl/Documents/Escritorio/"/>
    </mc:Choice>
  </mc:AlternateContent>
  <xr:revisionPtr revIDLastSave="30" documentId="13_ncr:1_{31CC5E79-07A4-4996-BB4C-CE9AB12FEFB0}" xr6:coauthVersionLast="47" xr6:coauthVersionMax="47" xr10:uidLastSave="{D65104A6-35C7-46DB-B5B6-9BC5A40CA31B}"/>
  <bookViews>
    <workbookView xWindow="-28920" yWindow="-2265" windowWidth="29040" windowHeight="15720" activeTab="3" xr2:uid="{00000000-000D-0000-FFFF-FFFF00000000}"/>
  </bookViews>
  <sheets>
    <sheet name="Tablas (criterios)" sheetId="7" r:id="rId1"/>
    <sheet name="Equipos" sheetId="1" r:id="rId2"/>
    <sheet name="Hoja3" sheetId="11" r:id="rId3"/>
    <sheet name="Hoja2" sheetId="10" r:id="rId4"/>
    <sheet name="ACA" sheetId="3" r:id="rId5"/>
    <sheet name="RCM-FMEA" sheetId="2" r:id="rId6"/>
    <sheet name="Pautas" sheetId="5" r:id="rId7"/>
    <sheet name="Planes" sheetId="6" r:id="rId8"/>
    <sheet name="BOOM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0" l="1" a="1"/>
  <c r="Q6" i="10" s="1"/>
  <c r="P6" i="10" a="1"/>
  <c r="P6" i="10" s="1"/>
  <c r="N28" i="10" a="1"/>
  <c r="N28" i="10" s="1"/>
  <c r="L25" i="10" a="1"/>
  <c r="L25" i="10" s="1"/>
  <c r="K25" i="10" a="1"/>
  <c r="K25" i="10" s="1"/>
  <c r="K40" i="10" s="1" a="1"/>
  <c r="K40" i="10" s="1"/>
  <c r="M25" i="10" a="1"/>
  <c r="M25" i="10" s="1"/>
  <c r="O28" i="10" a="1"/>
  <c r="O28" i="10" s="1"/>
  <c r="L40" i="10" a="1"/>
  <c r="L40" i="10" s="1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" i="3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I2" i="2"/>
  <c r="J2" i="2" s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" i="6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2" i="8"/>
  <c r="J14" i="3"/>
  <c r="K14" i="3" s="1"/>
  <c r="J3" i="3"/>
  <c r="J4" i="3"/>
  <c r="K4" i="3" s="1"/>
  <c r="J5" i="3"/>
  <c r="K5" i="3" s="1"/>
  <c r="J6" i="3"/>
  <c r="J7" i="3"/>
  <c r="K7" i="3" s="1"/>
  <c r="J8" i="3"/>
  <c r="K8" i="3" s="1"/>
  <c r="J9" i="3"/>
  <c r="K9" i="3" s="1"/>
  <c r="J10" i="3"/>
  <c r="K10" i="3" s="1"/>
  <c r="J11" i="3"/>
  <c r="K11" i="3" s="1"/>
  <c r="J12" i="3"/>
  <c r="K12" i="3" s="1"/>
  <c r="J13" i="3"/>
  <c r="K13" i="3" s="1"/>
  <c r="J15" i="3"/>
  <c r="J16" i="3"/>
  <c r="J17" i="3"/>
  <c r="K17" i="3" s="1"/>
  <c r="J18" i="3"/>
  <c r="K18" i="3" s="1"/>
  <c r="J19" i="3"/>
  <c r="K19" i="3" s="1"/>
  <c r="J20" i="3"/>
  <c r="K20" i="3" s="1"/>
  <c r="J21" i="3"/>
  <c r="K21" i="3" s="1"/>
  <c r="J2" i="3"/>
  <c r="K2" i="3" s="1"/>
  <c r="K3" i="3"/>
  <c r="K6" i="3"/>
  <c r="K15" i="3"/>
  <c r="K16" i="3"/>
  <c r="I2" i="3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16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7" i="3"/>
  <c r="I18" i="3"/>
  <c r="I19" i="3"/>
  <c r="I20" i="3"/>
  <c r="I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KHIARA DINATALE</author>
  </authors>
  <commentList>
    <comment ref="G1" authorId="0" shapeId="0" xr:uid="{55F69D9B-8FA1-4F49-84FB-C3AF2C45913D}">
      <text>
        <r>
          <rPr>
            <b/>
            <sz val="9"/>
            <color indexed="81"/>
            <rFont val="Tahoma"/>
            <family val="2"/>
          </rPr>
          <t>KHIARA DINATALE:</t>
        </r>
        <r>
          <rPr>
            <sz val="9"/>
            <color indexed="81"/>
            <rFont val="Tahoma"/>
            <family val="2"/>
          </rPr>
          <t xml:space="preserve">
Empresa- Planta/Sitio- Área- Sistema- Equipo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<sst xmlns="http://schemas.openxmlformats.org/spreadsheetml/2006/main" count="1916" uniqueCount="851">
  <si>
    <t>Equipo</t>
  </si>
  <si>
    <t>Bomba de Pulpa 1</t>
  </si>
  <si>
    <t>Bomba de Pulpa 2</t>
  </si>
  <si>
    <t>Molino SAG</t>
  </si>
  <si>
    <t>Correa Transportadora 1</t>
  </si>
  <si>
    <t>Correa Transportadora 2</t>
  </si>
  <si>
    <t>Compresor Principal</t>
  </si>
  <si>
    <t>Chancador Primario</t>
  </si>
  <si>
    <t>Harnero Vibratorio</t>
  </si>
  <si>
    <t>Ventilador Industrial</t>
  </si>
  <si>
    <t>Generador Eléctrico</t>
  </si>
  <si>
    <t>Agitador Industrial</t>
  </si>
  <si>
    <t>Cinta Dosificadora</t>
  </si>
  <si>
    <t>Bomba de Agua Industrial</t>
  </si>
  <si>
    <t>Área</t>
  </si>
  <si>
    <t>Sistema</t>
  </si>
  <si>
    <t>SubSistema</t>
  </si>
  <si>
    <t>Molienda</t>
  </si>
  <si>
    <t>Chancado</t>
  </si>
  <si>
    <t>Correas</t>
  </si>
  <si>
    <t>Servicios</t>
  </si>
  <si>
    <t>Trituración</t>
  </si>
  <si>
    <t>Clasificación</t>
  </si>
  <si>
    <t>Ventilación</t>
  </si>
  <si>
    <t>Energía</t>
  </si>
  <si>
    <t>Generación</t>
  </si>
  <si>
    <t>Almacenamiento</t>
  </si>
  <si>
    <t>Agitación</t>
  </si>
  <si>
    <t>Procesos</t>
  </si>
  <si>
    <t>Dosificación</t>
  </si>
  <si>
    <t>Distribución</t>
  </si>
  <si>
    <t>Lubricación</t>
  </si>
  <si>
    <t>Equipo / Componente</t>
  </si>
  <si>
    <t>Manejo de Pulpas</t>
  </si>
  <si>
    <t>Bombeo</t>
  </si>
  <si>
    <t>Reducción</t>
  </si>
  <si>
    <t>Transporte Material</t>
  </si>
  <si>
    <t>Aire Comprimido</t>
  </si>
  <si>
    <t>Harneros</t>
  </si>
  <si>
    <t>Extracción</t>
  </si>
  <si>
    <t>Respaldo Eléctrico</t>
  </si>
  <si>
    <t>Motor Eléctrico 150 HP</t>
  </si>
  <si>
    <t>Accionamiento</t>
  </si>
  <si>
    <t>Motor Eléctrico 75 HP</t>
  </si>
  <si>
    <t>Central Hidráulica de Potencia</t>
  </si>
  <si>
    <t>Oleohidráulica</t>
  </si>
  <si>
    <t>Estanque de Almacenamiento</t>
  </si>
  <si>
    <t>Alimentación</t>
  </si>
  <si>
    <t>Tablero Eléctrico de Fuerza</t>
  </si>
  <si>
    <t>Fuerza</t>
  </si>
  <si>
    <t>Variador de Frecuencia (VDF)</t>
  </si>
  <si>
    <t>Control Eléctrico</t>
  </si>
  <si>
    <t>Suministro Agua</t>
  </si>
  <si>
    <t>Empresa</t>
  </si>
  <si>
    <t>Planta / Sitio</t>
  </si>
  <si>
    <t>Ubicación Técnica</t>
  </si>
  <si>
    <t>Minera Norte S.A.</t>
  </si>
  <si>
    <t>Planta Concentradora</t>
  </si>
  <si>
    <t>Sistema Lubricación Forzada</t>
  </si>
  <si>
    <t>Falla Funcional</t>
  </si>
  <si>
    <t>Efecto de la Falla</t>
  </si>
  <si>
    <t>S</t>
  </si>
  <si>
    <t>O</t>
  </si>
  <si>
    <t>D</t>
  </si>
  <si>
    <t>NPR</t>
  </si>
  <si>
    <t>Acción Recomendada</t>
  </si>
  <si>
    <t>Pérdida de caudal por debajo del mínimo.</t>
  </si>
  <si>
    <t>Desgaste excesivo del impulsor por abrasión.</t>
  </si>
  <si>
    <t>Pérdida de eficiencia. El estanque EQ-014 corre riesgo de desborde.</t>
  </si>
  <si>
    <t>No arranca en el momento del cambio.</t>
  </si>
  <si>
    <t>Agarrotamiento del eje por sedimentación de pulpa.</t>
  </si>
  <si>
    <t>Detención temporal del circuito al no operar el respaldo.</t>
  </si>
  <si>
    <t>Pérdida total de la capacidad de rotación.</t>
  </si>
  <si>
    <t>Rotura de piñón de ataque del reductor principal.</t>
  </si>
  <si>
    <t>Parada total de molienda. Pérdidas millonarias por hora.</t>
  </si>
  <si>
    <t>Detención de la banda en operación.</t>
  </si>
  <si>
    <t>Rotura física de la lona/correa por impacto de roca.</t>
  </si>
  <si>
    <t>Detención del flujo desde el chancador. Atasco aguas arriba.</t>
  </si>
  <si>
    <t>Desalineación severa de la correa.</t>
  </si>
  <si>
    <t>Acumulación de material en polines de retorno.</t>
  </si>
  <si>
    <t>Daño en bordes de la correa, derrame de mineral en pasillos.</t>
  </si>
  <si>
    <t>Caída de presión en la red general.</t>
  </si>
  <si>
    <t>Falla en válvula de admisión del compresor.</t>
  </si>
  <si>
    <t>Pérdida de control en actuadores neumáticos de la planta.</t>
  </si>
  <si>
    <t>Atasco mecánico del equipo (Bloqueo).</t>
  </si>
  <si>
    <t>Ingreso de elemento infragmentable (acero de pala).</t>
  </si>
  <si>
    <t>Parada inmediata. Requiere uso de oxicorte para despejar.</t>
  </si>
  <si>
    <t>Pérdida de capacidad de harneado.</t>
  </si>
  <si>
    <t>Rotura de malla de clasificación o fisura en estructura.</t>
  </si>
  <si>
    <t>Paso de sobretamaño a la siguiente etapa, afectando calidad.</t>
  </si>
  <si>
    <t>Disminución del flujo de extracción.</t>
  </si>
  <si>
    <t>Desgaste o rotura de las correas de transmisión.</t>
  </si>
  <si>
    <t>Acumulación de polvo dañino para la salud y equipos.</t>
  </si>
  <si>
    <t>No genera energía al corte de red.</t>
  </si>
  <si>
    <t>Sulfatación o descarga de las baterías de arranque.</t>
  </si>
  <si>
    <t>Pérdida de sistemas críticos durante un apagón general.</t>
  </si>
  <si>
    <t>Pérdida total de rotación.</t>
  </si>
  <si>
    <t>Gripado de rodamiento por falta de grasa.</t>
  </si>
  <si>
    <t>Detiene por completo la operación de la Bomba EQ-001.</t>
  </si>
  <si>
    <t>Corte por sobrecorriente.</t>
  </si>
  <si>
    <t>Degradación del aislamiento del estator eléctrico.</t>
  </si>
  <si>
    <t>Detiene el compresor EQ-006 dejando la planta sin aire.</t>
  </si>
  <si>
    <t>Pérdida de presión en el circuito del cono.</t>
  </si>
  <si>
    <t>Fuga severa por rotura de manguera de alta presión.</t>
  </si>
  <si>
    <t>El chancador EQ-007 se detiene por seguridad hidráulica.</t>
  </si>
  <si>
    <t>Perforación o rotura de la estructura.</t>
  </si>
  <si>
    <t>Desgaste por erosión en las paredes internas del tanque.</t>
  </si>
  <si>
    <t>Derrame de pulpa al suelo, daño ambiental y parada de línea.</t>
  </si>
  <si>
    <t>Sedimentación del mineral en el fondo.</t>
  </si>
  <si>
    <t>Rotura de las aspas o del eje del agitador.</t>
  </si>
  <si>
    <t>El estanque se embanca (endurece), tapando la succión de la bomba.</t>
  </si>
  <si>
    <t>Variación descontrolada en el pesaje.</t>
  </si>
  <si>
    <t>Falla o descalibración de la celda de carga.</t>
  </si>
  <si>
    <t>Dosificación incorrecta, afectando la recuperación del mineral.</t>
  </si>
  <si>
    <t>Disparo del interruptor principal.</t>
  </si>
  <si>
    <t>Falso contacto/puntos calientes en barras de fuerza.</t>
  </si>
  <si>
    <t>Apagón total de los equipos asociados al área de molienda.</t>
  </si>
  <si>
    <t>Bloqueo o apagado del equipo por falla.</t>
  </si>
  <si>
    <t>Sobrecalentamiento por filtros de aire tapados en gabinete.</t>
  </si>
  <si>
    <t>Se detiene el motor EQ-011 y por ende la bomba EQ-001.</t>
  </si>
  <si>
    <t>Baja presión de aceite en los descansos.</t>
  </si>
  <si>
    <t>Obstrucción severa en los filtros de la línea de suministro.</t>
  </si>
  <si>
    <t>Riesgo inminente de fundir los bronces del Molino SAG EQ-003.</t>
  </si>
  <si>
    <t>Pérdida de presión en la línea de agua.</t>
  </si>
  <si>
    <t>Desgaste del sello mecánico con fuga severa de fluido.</t>
  </si>
  <si>
    <t>Falta de agua para refrigeración o sellos mecánicos de bombas.</t>
  </si>
  <si>
    <t>Frecuencia</t>
  </si>
  <si>
    <t>Impacto Operacional</t>
  </si>
  <si>
    <t>Seguridad</t>
  </si>
  <si>
    <t>Medio Ambiente</t>
  </si>
  <si>
    <t>Costo Mantención</t>
  </si>
  <si>
    <t>Criticidad</t>
  </si>
  <si>
    <t>Actividad</t>
  </si>
  <si>
    <t>HH</t>
  </si>
  <si>
    <t>Responsable</t>
  </si>
  <si>
    <t>Paso</t>
  </si>
  <si>
    <t>Herramienta</t>
  </si>
  <si>
    <t>Riesgo</t>
  </si>
  <si>
    <t xml:space="preserve">Valor </t>
  </si>
  <si>
    <t xml:space="preserve">Descripción </t>
  </si>
  <si>
    <t xml:space="preserve">Criterio </t>
  </si>
  <si>
    <t>FRECUENCIA</t>
  </si>
  <si>
    <t xml:space="preserve">Muy baja </t>
  </si>
  <si>
    <t>Baja</t>
  </si>
  <si>
    <t>Media</t>
  </si>
  <si>
    <t>Alta</t>
  </si>
  <si>
    <t>Muy alta</t>
  </si>
  <si>
    <t>1 falla cada &gt; 2 años</t>
  </si>
  <si>
    <t xml:space="preserve">1 falla anual </t>
  </si>
  <si>
    <t>2-4 fallas/año</t>
  </si>
  <si>
    <t>5-8 fallas/año</t>
  </si>
  <si>
    <t xml:space="preserve">&gt;8 fallas/año </t>
  </si>
  <si>
    <t>Valor</t>
  </si>
  <si>
    <t>Descripción</t>
  </si>
  <si>
    <t>Sin riesgo</t>
  </si>
  <si>
    <t>Riesgo menor</t>
  </si>
  <si>
    <t>Lesión leve</t>
  </si>
  <si>
    <t>Lesión grave</t>
  </si>
  <si>
    <t>Fatalidad potencial</t>
  </si>
  <si>
    <t>SEGURIDAD</t>
  </si>
  <si>
    <t>Sin impacto</t>
  </si>
  <si>
    <t>Impacto menor</t>
  </si>
  <si>
    <t>Derrame controlado</t>
  </si>
  <si>
    <t>Contaminación relevante</t>
  </si>
  <si>
    <t>Impacto ambiental crítico</t>
  </si>
  <si>
    <t>MEDIO AMBIENTE</t>
  </si>
  <si>
    <t>Puntaje</t>
  </si>
  <si>
    <t>1–20</t>
  </si>
  <si>
    <t>21–40</t>
  </si>
  <si>
    <t>41–70</t>
  </si>
  <si>
    <t>&gt;70</t>
  </si>
  <si>
    <t>Crítica</t>
  </si>
  <si>
    <t xml:space="preserve">CLASIFICACIÓN FINAL </t>
  </si>
  <si>
    <t>Nivel</t>
  </si>
  <si>
    <t>Costo Referencial</t>
  </si>
  <si>
    <t>Muy Bajo</t>
  </si>
  <si>
    <t>&lt; 500 USD</t>
  </si>
  <si>
    <t>Bajo</t>
  </si>
  <si>
    <t>500 – 2.000 USD</t>
  </si>
  <si>
    <t>Medio</t>
  </si>
  <si>
    <t>2.001 – 10.000 USD</t>
  </si>
  <si>
    <t>Alto</t>
  </si>
  <si>
    <t>10.001 – 50.000 USD</t>
  </si>
  <si>
    <t>Crítico</t>
  </si>
  <si>
    <t>&gt; 50.000 USD</t>
  </si>
  <si>
    <t>COSTO MANTENCIÓN</t>
  </si>
  <si>
    <t>Insignificante</t>
  </si>
  <si>
    <t>No afecta producción</t>
  </si>
  <si>
    <t>Disminución menor de rendimiento</t>
  </si>
  <si>
    <t>Detención parcial de línea</t>
  </si>
  <si>
    <t>Detención completa de un proceso</t>
  </si>
  <si>
    <t>Detención total de planta</t>
  </si>
  <si>
    <t>IMPACTO OPEREACIONAL</t>
  </si>
  <si>
    <t>Criticidad (NIVEL)</t>
  </si>
  <si>
    <t>Nivel Riesgo</t>
  </si>
  <si>
    <t>Acción</t>
  </si>
  <si>
    <t>1–50</t>
  </si>
  <si>
    <t>Control normal</t>
  </si>
  <si>
    <t>51–120</t>
  </si>
  <si>
    <t>Monitorear</t>
  </si>
  <si>
    <t>121–200</t>
  </si>
  <si>
    <t>Plan acción</t>
  </si>
  <si>
    <t>&gt;200</t>
  </si>
  <si>
    <t>Acción inmediata</t>
  </si>
  <si>
    <t>CLASIFICACIÓN DE NPR</t>
  </si>
  <si>
    <t xml:space="preserve">Consecuencia </t>
  </si>
  <si>
    <t>Muy baja</t>
  </si>
  <si>
    <t>Sin detención</t>
  </si>
  <si>
    <t>Producción levemente afectada</t>
  </si>
  <si>
    <t>Menor</t>
  </si>
  <si>
    <t>Requiere intervención simple</t>
  </si>
  <si>
    <t>Moderada</t>
  </si>
  <si>
    <t>Disminución de rendimiento</t>
  </si>
  <si>
    <t>Significativa</t>
  </si>
  <si>
    <t>Detención parcial línea</t>
  </si>
  <si>
    <t>Detención operacional importante</t>
  </si>
  <si>
    <t>Detención completa de proceso</t>
  </si>
  <si>
    <t>Paralización crítica</t>
  </si>
  <si>
    <t>Catastrófica</t>
  </si>
  <si>
    <t>Detención total o accidente grave</t>
  </si>
  <si>
    <t>SEVERIDAD</t>
  </si>
  <si>
    <t>Frecuencia estimada</t>
  </si>
  <si>
    <t>Improbable</t>
  </si>
  <si>
    <t>Nunca registrada</t>
  </si>
  <si>
    <t>Muy remota</t>
  </si>
  <si>
    <t>1 vez cada &gt;5 años</t>
  </si>
  <si>
    <t>Remota</t>
  </si>
  <si>
    <t>1 vez cada 3–5 años</t>
  </si>
  <si>
    <t>1 vez cada 1–2 años</t>
  </si>
  <si>
    <t>1 vez por año</t>
  </si>
  <si>
    <t>Repetitiva</t>
  </si>
  <si>
    <t>Varias veces al año</t>
  </si>
  <si>
    <t>Mensual</t>
  </si>
  <si>
    <t>Semanal</t>
  </si>
  <si>
    <t>Frecuente</t>
  </si>
  <si>
    <t>Varias veces por semana</t>
  </si>
  <si>
    <t>Permanente</t>
  </si>
  <si>
    <t>Ocurre constantemente</t>
  </si>
  <si>
    <t>OCURRENCIA</t>
  </si>
  <si>
    <t>Capacidad de detección</t>
  </si>
  <si>
    <t>Casi segura</t>
  </si>
  <si>
    <t>Detectada automáticamente</t>
  </si>
  <si>
    <t>Alarmas permanentes</t>
  </si>
  <si>
    <t>Monitoreo continuo</t>
  </si>
  <si>
    <t>Buena</t>
  </si>
  <si>
    <t>Fácil en inspección</t>
  </si>
  <si>
    <t>Requiere revisión técnica</t>
  </si>
  <si>
    <t>Difícil de detectar</t>
  </si>
  <si>
    <t>Detectable ocasionalmente</t>
  </si>
  <si>
    <t>Muy difícil detectar</t>
  </si>
  <si>
    <t>Casi imposible</t>
  </si>
  <si>
    <t>Solo visible tras falla</t>
  </si>
  <si>
    <t>Imposible</t>
  </si>
  <si>
    <t>No detectable</t>
  </si>
  <si>
    <t>DETENCIÓN</t>
  </si>
  <si>
    <t xml:space="preserve">Criticidad  </t>
  </si>
  <si>
    <t>Tarea de mtto</t>
  </si>
  <si>
    <t>Especialidad</t>
  </si>
  <si>
    <t>Codigo pauta</t>
  </si>
  <si>
    <t xml:space="preserve">Estrategia </t>
  </si>
  <si>
    <t>Estrategia</t>
  </si>
  <si>
    <t>Código Pauta</t>
  </si>
  <si>
    <t>Cambio programado de sello mecánico y alineación</t>
  </si>
  <si>
    <t>Predictiva</t>
  </si>
  <si>
    <t>Predictivo</t>
  </si>
  <si>
    <t>Mecánica</t>
  </si>
  <si>
    <t>PT-BOM-001</t>
  </si>
  <si>
    <t>Monitoreo vibracional y análisis de desgaste interno</t>
  </si>
  <si>
    <t>PT-BOM-002</t>
  </si>
  <si>
    <t>Análisis de aceite y monitoreo vibracional continuo</t>
  </si>
  <si>
    <t>PT-MOL-001</t>
  </si>
  <si>
    <t>Inspección estructural y ajuste de rodillos</t>
  </si>
  <si>
    <t>Preventiva</t>
  </si>
  <si>
    <t>Preventivo</t>
  </si>
  <si>
    <t>PT-COR-001</t>
  </si>
  <si>
    <t>Cambio preventivo de polines y revisión de tensión</t>
  </si>
  <si>
    <t>Quincenal</t>
  </si>
  <si>
    <t>PT-COR-002</t>
  </si>
  <si>
    <t>Cambio de filtros y revisión de presión diferencial</t>
  </si>
  <si>
    <t>PT-COM-001</t>
  </si>
  <si>
    <t>Monitoreo de vibraciones y revisión hidráulica</t>
  </si>
  <si>
    <t>PT-CHA-001</t>
  </si>
  <si>
    <t>Revisión de mallas y ajuste estructural</t>
  </si>
  <si>
    <t>PT-HAR-001</t>
  </si>
  <si>
    <t>Limpieza y balanceo dinámico del impulsor</t>
  </si>
  <si>
    <t>PT-VEN-001</t>
  </si>
  <si>
    <t>Prueba bajo carga y termografía</t>
  </si>
  <si>
    <t>Eléctrica</t>
  </si>
  <si>
    <t>PT-GEN-001</t>
  </si>
  <si>
    <t>Termografía y lubricación de rodamientos</t>
  </si>
  <si>
    <t>PT-MOT-001</t>
  </si>
  <si>
    <t>Medición de aislamiento y limpieza interna</t>
  </si>
  <si>
    <t>Trimestral</t>
  </si>
  <si>
    <t>PT-MOT-002</t>
  </si>
  <si>
    <t>Central Hidráulica</t>
  </si>
  <si>
    <t>Cambio de aceite y revisión de presión</t>
  </si>
  <si>
    <t>Hidráulica</t>
  </si>
  <si>
    <t>PT-HID-001</t>
  </si>
  <si>
    <t>Inspección de corrosión y espesores</t>
  </si>
  <si>
    <t>PT-EST-001</t>
  </si>
  <si>
    <t>Alineación y revisión de motorreductor</t>
  </si>
  <si>
    <t>PT-AGI-001</t>
  </si>
  <si>
    <t>Calibración y limpieza de sensores</t>
  </si>
  <si>
    <t>Instrumentación</t>
  </si>
  <si>
    <t>PT-DOS-001</t>
  </si>
  <si>
    <t>Inspección termográfica y ajuste de conexiones</t>
  </si>
  <si>
    <t>PT-TAB-001</t>
  </si>
  <si>
    <t>Limpieza interna y revisión de ventilación</t>
  </si>
  <si>
    <t>PT-VDF-001</t>
  </si>
  <si>
    <t>Monitoreo de presión y análisis de aceite</t>
  </si>
  <si>
    <t>PT-LUB-001</t>
  </si>
  <si>
    <t>Inspección de fugas y verificación de caudal</t>
  </si>
  <si>
    <t>PT-AGU-001</t>
  </si>
  <si>
    <t>Código Plan</t>
  </si>
  <si>
    <t>Recursos</t>
  </si>
  <si>
    <t>PM-001</t>
  </si>
  <si>
    <t>Cambio sello mecánico y alineación</t>
  </si>
  <si>
    <t>Sello, alineador láser</t>
  </si>
  <si>
    <t>PM-002</t>
  </si>
  <si>
    <t>Monitoreo vibracional</t>
  </si>
  <si>
    <t>Analizador vibraciones</t>
  </si>
  <si>
    <t>PM-003</t>
  </si>
  <si>
    <t>Análisis aceite y vibraciones</t>
  </si>
  <si>
    <t>Kit análisis aceite</t>
  </si>
  <si>
    <t>PM-004</t>
  </si>
  <si>
    <t>Inspección rodillos y tensión</t>
  </si>
  <si>
    <t>Llave torque</t>
  </si>
  <si>
    <t>PM-005</t>
  </si>
  <si>
    <t>Cambio polines desgaste</t>
  </si>
  <si>
    <t>Polines y herramientas</t>
  </si>
  <si>
    <t>PM-006</t>
  </si>
  <si>
    <t>Cambio filtros y revisión presión</t>
  </si>
  <si>
    <t>Filtros aire</t>
  </si>
  <si>
    <t>PM-007</t>
  </si>
  <si>
    <t>Monitoreo vibracional e hidráulico</t>
  </si>
  <si>
    <t>Analizador vibración</t>
  </si>
  <si>
    <t>PM-008</t>
  </si>
  <si>
    <t>Revisión mallas y estructura</t>
  </si>
  <si>
    <t>Mallas y pernos</t>
  </si>
  <si>
    <t>PM-009</t>
  </si>
  <si>
    <t>Balanceo y limpieza impulsor</t>
  </si>
  <si>
    <t>Balanceador dinámico</t>
  </si>
  <si>
    <t>PM-010</t>
  </si>
  <si>
    <t>Termografía y prueba carga</t>
  </si>
  <si>
    <t>Cámara termográfica</t>
  </si>
  <si>
    <t>PM-011</t>
  </si>
  <si>
    <t>Lubricación y termografía</t>
  </si>
  <si>
    <t>Grasa y termografía</t>
  </si>
  <si>
    <t>PM-012</t>
  </si>
  <si>
    <t>Medición aislamiento</t>
  </si>
  <si>
    <t>Megger</t>
  </si>
  <si>
    <t>PM-013</t>
  </si>
  <si>
    <t>Cambio aceite y revisión presión</t>
  </si>
  <si>
    <t>Aceite hidráulico</t>
  </si>
  <si>
    <t>PM-014</t>
  </si>
  <si>
    <t>Inspección corrosión</t>
  </si>
  <si>
    <t>Ultrasonido espesores</t>
  </si>
  <si>
    <t>PM-015</t>
  </si>
  <si>
    <t>Revisión motorreductor</t>
  </si>
  <si>
    <t>Vibrómetro</t>
  </si>
  <si>
    <t>PM-016</t>
  </si>
  <si>
    <t>Calibración sensores</t>
  </si>
  <si>
    <t>Calibrador</t>
  </si>
  <si>
    <t>PM-017</t>
  </si>
  <si>
    <t>Tablero Eléctrico</t>
  </si>
  <si>
    <t>Termografía conexiones</t>
  </si>
  <si>
    <t>PM-018</t>
  </si>
  <si>
    <t>Variador Frecuencia</t>
  </si>
  <si>
    <t>Limpieza ventilación</t>
  </si>
  <si>
    <t>Aire comprimido</t>
  </si>
  <si>
    <t>PM-019</t>
  </si>
  <si>
    <t>Sistema Lubricación</t>
  </si>
  <si>
    <t>Monitoreo presión aceite</t>
  </si>
  <si>
    <t>Manómetros</t>
  </si>
  <si>
    <t>PM-020</t>
  </si>
  <si>
    <t>Bomba Agua Industrial</t>
  </si>
  <si>
    <t>Inspección fugas y caudal</t>
  </si>
  <si>
    <t>Caudalímetro</t>
  </si>
  <si>
    <t>EPP</t>
  </si>
  <si>
    <t>*Detener bomba
*Aplicar bloqueo LOTO
*Drenar línea
*Retirar carcasa
*Extraer sello
*Revisar desgaste eje
*Instalar sello nuevo
*Verificar alineación
*Probar funcionamiento</t>
  </si>
  <si>
    <t>*Casco
*Guantes
*Antiparras
*Respirador</t>
  </si>
  <si>
    <t xml:space="preserve">Inspección correa transportadora </t>
  </si>
  <si>
    <t>Cambio sello mecánico y verificación de alineación</t>
  </si>
  <si>
    <t>*Verificar condiciones operacionales
*Medir vibraciones en rodamientos
*Registrar amplitud y frecuencia
*Comparar con límites ISO
*Generar diagnóstico</t>
  </si>
  <si>
    <t xml:space="preserve">*Casco
*Protección auditiva
</t>
  </si>
  <si>
    <t xml:space="preserve">Análisis aceite y vibraciones </t>
  </si>
  <si>
    <t>*Coordinar intervenciones con operaciones                                                                             *Extraer muestra aceite
*Medir contaminación y viscosidad
*Realizar medición vibracional                                                                                   *Analizar tendencia
*Emitir informe técnico</t>
  </si>
  <si>
    <t xml:space="preserve">*Casco
*Guantes
</t>
  </si>
  <si>
    <t xml:space="preserve">*Casco
*Guantes                                                                                                                   *Protección auditiva
</t>
  </si>
  <si>
    <t>*Detener correa
*Aplicar bloqueo LOTO
*Inspeccionar tensión de banda
*Revisar polines y rodillos
*Verificar alineación
*Registrar hallazgos</t>
  </si>
  <si>
    <t>*Casco
*Guantes
*Chaleco reflectante</t>
  </si>
  <si>
    <t xml:space="preserve">Cambio de polines y revisión de tensión </t>
  </si>
  <si>
    <t>*Casco
*Guantes
*Lentes seguridad</t>
  </si>
  <si>
    <t>Cambio de filtros y revisión de presión</t>
  </si>
  <si>
    <t xml:space="preserve">*Casco
*Antiparras
</t>
  </si>
  <si>
    <t>*Casco
*Guantes
*Protección auditiva</t>
  </si>
  <si>
    <t xml:space="preserve">Revisión de mallas y estructura </t>
  </si>
  <si>
    <t>Llaves torque
Linterna</t>
  </si>
  <si>
    <t>Vibraciones residuales
Golpes</t>
  </si>
  <si>
    <t>Limpieza y balanceo dinámico</t>
  </si>
  <si>
    <t>Balanceador
Cepillos industriales</t>
  </si>
  <si>
    <t>Contacto eléctrico
Golpes</t>
  </si>
  <si>
    <t xml:space="preserve">*Casco
*Guantes
*Antiparras
</t>
  </si>
  <si>
    <t>*Verificar combustible
*Encender generador
*Aplicar carga controlada
*Realizar termografía
*Registrar temperaturas
*Emitir informe</t>
  </si>
  <si>
    <t>*Desenergizar ventilador
*Retirar cubierta
*Limpiar aspas
*Medir desbalance
*Balancear impulsor
*Verificar vibraciones</t>
  </si>
  <si>
    <t>*Detener harnero
*Aplicar bloqueo
*Revisar tensión de mallas
*Verificar fisuras estructurales
*Ajustar pernos
*Registrar inspección</t>
  </si>
  <si>
    <t>*Verificar operación segura
*Medir vibraciones estructurales
*Revisar presión hidráulica
*Inspeccionar fugas
*Registrar desviaciones</t>
  </si>
  <si>
    <t>*Detener compresor
*Liberar presión residual
*Retirar filtros usados
*Instalar filtros nuevos
*Verificar presión de trabajo
*Registrar parámetros</t>
  </si>
  <si>
    <t>*Detener equipo
*Bloquear energías
*Retirar polines dañados
*Instalar polines nuevos
*Ajustar tensión
*Probar operación</t>
  </si>
  <si>
    <t>Prueba de carga y termografía</t>
  </si>
  <si>
    <t>*Guantes dieléctricos
*Casco</t>
  </si>
  <si>
    <t>*Verificar estado operacional
*Lubricar rodamientos
*Medir temperatura
*Realizar termografía
*Registrar datos</t>
  </si>
  <si>
    <t xml:space="preserve">Medición de aislamiento </t>
  </si>
  <si>
    <t>*Desenergizar motor
*Verificar ausencia tensión
*Conectar megger
*Medir resistencia aislamiento
*Registrar resultados</t>
  </si>
  <si>
    <t>Megger
Multímetro</t>
  </si>
  <si>
    <t>*Guantes dieléctricos
*Casco                                        *Antiparras</t>
  </si>
  <si>
    <t xml:space="preserve">*Guantes dieléctricos
*Casco                                  </t>
  </si>
  <si>
    <t>Cambio de aceite y revisión  de presión</t>
  </si>
  <si>
    <t>*Detener sistema
*Drenar aceite usado
*Reemplazar filtros
*Cargar aceite nuevo
*Verificar presión
*Inspeccionar fugas</t>
  </si>
  <si>
    <t>*Guantes
*Antiparras</t>
  </si>
  <si>
    <t>*Aislar estanque
*Limpiar superficie
*Medir espesores
*Inspeccionar corrosión
*Registrar daños</t>
  </si>
  <si>
    <t>*Casco
*Guantes</t>
  </si>
  <si>
    <t>Revisión de motorreductor</t>
  </si>
  <si>
    <t>*Detener agitador
*Revisar vibraciones
*Verificar fijaciones
*Inspeccionar motorreductor
*Lubricar componentes</t>
  </si>
  <si>
    <t>Vibrómetro
Pistola grasa</t>
  </si>
  <si>
    <t>Atrapamiento</t>
  </si>
  <si>
    <t>Calibración de sensores</t>
  </si>
  <si>
    <t>*Verificar alimentación
*Revisar sensores
*Calibrar señal
*Validar lectura
*Registrar parámetros</t>
  </si>
  <si>
    <t xml:space="preserve">*Casco
*Guantes                                                                                             *Antiparras
</t>
  </si>
  <si>
    <t>Termografía tablero y ajuste de conexiones</t>
  </si>
  <si>
    <t>*Verificar carga eléctrica
*Abrir tablero autorizado
*Escanear conexiones 
*Ajustar terminales                                                                                   *Registrar resultados
*Emitir informe</t>
  </si>
  <si>
    <t>*Guantes dieléctricos
*Pantalla facial</t>
  </si>
  <si>
    <t xml:space="preserve">Limpieza y revisión ventilación </t>
  </si>
  <si>
    <t>*Desenergizar VDF
*Retirar tapas
*Limpiar filtros
*Revisar ventiladores
*Verificar alarmas
*Energizar y probar</t>
  </si>
  <si>
    <t>*Guantes dieléctricos
*Antiparras</t>
  </si>
  <si>
    <t>Llave torque
Extractor
Alineador láser</t>
  </si>
  <si>
    <t>Atrapamiento
Derrame pulpa
Presión residual</t>
  </si>
  <si>
    <t>Vibrómetro 
Tablet inspección</t>
  </si>
  <si>
    <t>Contacto con partes móviles</t>
  </si>
  <si>
    <t xml:space="preserve">Kit muestreo aceite                                                                                                                         Vibrómetro                                                                                                                Laptop analizador aceite                                       </t>
  </si>
  <si>
    <t xml:space="preserve">Superficie caliente
Atrapamiento 
</t>
  </si>
  <si>
    <t xml:space="preserve">Llave torque                                                                                                                        Linterna                                                                                                                                      </t>
  </si>
  <si>
    <t xml:space="preserve">Caída al mismo nivel 
Atrapamiento 
</t>
  </si>
  <si>
    <t>Llave impacto
Polines de reemplazo</t>
  </si>
  <si>
    <t>Golpes
Atrapamiento</t>
  </si>
  <si>
    <t>Llaves combinadas
Manómetro</t>
  </si>
  <si>
    <t>Proyección de partículas
Presión residual</t>
  </si>
  <si>
    <t>Vibrómetro
Manómetro hidráulico</t>
  </si>
  <si>
    <t>Caída de roca
Atrapamiento</t>
  </si>
  <si>
    <t>Cámara termográfica
Multímetro</t>
  </si>
  <si>
    <t>Contacto eléctrico
Temperatura alta</t>
  </si>
  <si>
    <t>Pistola grasa
Cámara termográfica</t>
  </si>
  <si>
    <t>Descarga eléctrica</t>
  </si>
  <si>
    <t>Contacto eléctrico</t>
  </si>
  <si>
    <t>Manómetro
Bomba aceite</t>
  </si>
  <si>
    <t>Derrame aceite
Presión hidráulica</t>
  </si>
  <si>
    <t>Ultrasonido espesores
Linterna</t>
  </si>
  <si>
    <t>Caída mismo nivel
Contacto químico</t>
  </si>
  <si>
    <t>Calibrador
Laptop programación</t>
  </si>
  <si>
    <t>Cámara termográfica
Llave torque</t>
  </si>
  <si>
    <t>Arco eléctrico
Descarga eléctrica</t>
  </si>
  <si>
    <t>Aire comprimido
Multímetro</t>
  </si>
  <si>
    <t>Monitoreo presión y análisis aceite</t>
  </si>
  <si>
    <t>*Revisar presión línea
*Verificar caudal
*Extraer muestra aceite
*Revisar filtros
*Registrar resultados</t>
  </si>
  <si>
    <t>Manómetro
Kit análisis aceite</t>
  </si>
  <si>
    <t>Derrame aceite
Superficie caliente</t>
  </si>
  <si>
    <t>Guantes
Antiparras</t>
  </si>
  <si>
    <t xml:space="preserve">Inspección de fugas y caudal </t>
  </si>
  <si>
    <t>*Verificar operación
*Revisar fugas
*Medir caudal
*Inspeccionar vibraciones
*Registrar datos</t>
  </si>
  <si>
    <t>Caudalímetro
Vibrómetro</t>
  </si>
  <si>
    <t>Humedad
Resbalones</t>
  </si>
  <si>
    <t>Botas seguridad
Guantes</t>
  </si>
  <si>
    <t>Código BOM</t>
  </si>
  <si>
    <t>Código Repuesto</t>
  </si>
  <si>
    <t>Repuesto</t>
  </si>
  <si>
    <t>Categoría</t>
  </si>
  <si>
    <t>Stock</t>
  </si>
  <si>
    <t>Stock Min</t>
  </si>
  <si>
    <t>Unidad</t>
  </si>
  <si>
    <t>Proveedor</t>
  </si>
  <si>
    <t>BOM-001</t>
  </si>
  <si>
    <t>REP-BOM-001</t>
  </si>
  <si>
    <t>Sello mecánico</t>
  </si>
  <si>
    <t>Mecánico</t>
  </si>
  <si>
    <t>BOM-002</t>
  </si>
  <si>
    <t>REP-BOM-002</t>
  </si>
  <si>
    <t>Rodamiento SKF 6312</t>
  </si>
  <si>
    <t>BOM-003</t>
  </si>
  <si>
    <t>REP-BOM-003</t>
  </si>
  <si>
    <t>Impulsor bomba</t>
  </si>
  <si>
    <t>BOM-004</t>
  </si>
  <si>
    <t>REP-BOM-004</t>
  </si>
  <si>
    <t>Empaquetadura carcasa</t>
  </si>
  <si>
    <t>BOM-005</t>
  </si>
  <si>
    <t>Piñón ataque</t>
  </si>
  <si>
    <t>BOM-006</t>
  </si>
  <si>
    <t>Corona molino</t>
  </si>
  <si>
    <t>BOM-007</t>
  </si>
  <si>
    <t>Rodamiento muñón</t>
  </si>
  <si>
    <t>BOM-008</t>
  </si>
  <si>
    <t>Sensor vibración</t>
  </si>
  <si>
    <t>BOM-009</t>
  </si>
  <si>
    <t>Polín retorno</t>
  </si>
  <si>
    <t>BOM-010</t>
  </si>
  <si>
    <t>Banda transportadora</t>
  </si>
  <si>
    <t>BOM-011</t>
  </si>
  <si>
    <t>Rodillo impacto</t>
  </si>
  <si>
    <t>BOM-012</t>
  </si>
  <si>
    <t>UN</t>
  </si>
  <si>
    <t>FlowServe</t>
  </si>
  <si>
    <t>SKF</t>
  </si>
  <si>
    <t>Metso</t>
  </si>
  <si>
    <t>TTM</t>
  </si>
  <si>
    <t>REP-BOM-005</t>
  </si>
  <si>
    <t>Eje bomba</t>
  </si>
  <si>
    <t>REP-BOM-006</t>
  </si>
  <si>
    <t>REP-MOL-001</t>
  </si>
  <si>
    <t>REP-MOL-002</t>
  </si>
  <si>
    <t>FLSmidth</t>
  </si>
  <si>
    <t>REP-MOL-003</t>
  </si>
  <si>
    <t>REP-MOL-004</t>
  </si>
  <si>
    <t>IFM</t>
  </si>
  <si>
    <t>REP-COR-001</t>
  </si>
  <si>
    <t>Continental</t>
  </si>
  <si>
    <t>REP-COR-002</t>
  </si>
  <si>
    <t>Rulmeca</t>
  </si>
  <si>
    <t>BOM-013</t>
  </si>
  <si>
    <t>REP-COR-003</t>
  </si>
  <si>
    <t>BOM-014</t>
  </si>
  <si>
    <t>REP-COR-004</t>
  </si>
  <si>
    <t>Raspador banda</t>
  </si>
  <si>
    <t>Flexco</t>
  </si>
  <si>
    <t>BOM-015</t>
  </si>
  <si>
    <t>REP-COR-005</t>
  </si>
  <si>
    <t>Polín carga</t>
  </si>
  <si>
    <t>BOM-016</t>
  </si>
  <si>
    <t>REP-COR-006</t>
  </si>
  <si>
    <t>BOM-017</t>
  </si>
  <si>
    <t>REP-COM-001</t>
  </si>
  <si>
    <t>Filtro aire</t>
  </si>
  <si>
    <t>Atlas Copco</t>
  </si>
  <si>
    <t>BOM-018</t>
  </si>
  <si>
    <t>REP-COM-002</t>
  </si>
  <si>
    <t>Válvula admisión</t>
  </si>
  <si>
    <t>BOM-019</t>
  </si>
  <si>
    <t>REP-COM-003</t>
  </si>
  <si>
    <t>Kit empaquetaduras</t>
  </si>
  <si>
    <t>KIT</t>
  </si>
  <si>
    <t>BOM-020</t>
  </si>
  <si>
    <t>REP-CHA-001</t>
  </si>
  <si>
    <t>Manto chancador</t>
  </si>
  <si>
    <t>BOM-021</t>
  </si>
  <si>
    <t>REP-CHA-002</t>
  </si>
  <si>
    <t>Cóncavo</t>
  </si>
  <si>
    <t>BOM-022</t>
  </si>
  <si>
    <t>REP-CHA-003</t>
  </si>
  <si>
    <t>Cilindro hidráulico</t>
  </si>
  <si>
    <t>Hidráulico</t>
  </si>
  <si>
    <t>Parker</t>
  </si>
  <si>
    <t>BOM-023</t>
  </si>
  <si>
    <t>REP-HAR-001</t>
  </si>
  <si>
    <t>Malla clasificación</t>
  </si>
  <si>
    <t>BOM-024</t>
  </si>
  <si>
    <t>REP-HAR-002</t>
  </si>
  <si>
    <t>Resorte vibratorio</t>
  </si>
  <si>
    <t>Sandvik</t>
  </si>
  <si>
    <t>BOM-025</t>
  </si>
  <si>
    <t>REP-VEN-001</t>
  </si>
  <si>
    <t>Correa transmisión</t>
  </si>
  <si>
    <t>Gates</t>
  </si>
  <si>
    <t>BOM-026</t>
  </si>
  <si>
    <t>REP-VEN-002</t>
  </si>
  <si>
    <t>Rodamiento ventilador</t>
  </si>
  <si>
    <t>BOM-027</t>
  </si>
  <si>
    <t>REP-GEN-001</t>
  </si>
  <si>
    <t>Batería arranque</t>
  </si>
  <si>
    <t>Eléctrico</t>
  </si>
  <si>
    <t>CAT</t>
  </si>
  <si>
    <t>BOM-028</t>
  </si>
  <si>
    <t>REP-GEN-002</t>
  </si>
  <si>
    <t>Regulador voltaje</t>
  </si>
  <si>
    <t>Caterpillar</t>
  </si>
  <si>
    <t>BOM-029</t>
  </si>
  <si>
    <t>REP-MOT-001</t>
  </si>
  <si>
    <t>Rodamiento motor</t>
  </si>
  <si>
    <t>BOM-030</t>
  </si>
  <si>
    <t>REP-MOT-002</t>
  </si>
  <si>
    <t>Grasa industrial</t>
  </si>
  <si>
    <t>KG</t>
  </si>
  <si>
    <t>Mobil</t>
  </si>
  <si>
    <t>BOM-031</t>
  </si>
  <si>
    <t>REP-MOT-003</t>
  </si>
  <si>
    <t>Bobinado motor</t>
  </si>
  <si>
    <t>ABB</t>
  </si>
  <si>
    <t>BOM-032</t>
  </si>
  <si>
    <t>REP-HID-001</t>
  </si>
  <si>
    <t>Manguera hidráulica</t>
  </si>
  <si>
    <t>BOM-033</t>
  </si>
  <si>
    <t>REP-HID-002</t>
  </si>
  <si>
    <t>Filtro hidráulico</t>
  </si>
  <si>
    <t>BOM-034</t>
  </si>
  <si>
    <t>REP-EST-001</t>
  </si>
  <si>
    <t>Planchas acero ASTM A36</t>
  </si>
  <si>
    <t>CAP</t>
  </si>
  <si>
    <t>BOM-035</t>
  </si>
  <si>
    <t>REP-EST-002</t>
  </si>
  <si>
    <t>Recubrimiento anticorrosivo</t>
  </si>
  <si>
    <t>GL</t>
  </si>
  <si>
    <t>Sherwin Williams</t>
  </si>
  <si>
    <t>BOM-036</t>
  </si>
  <si>
    <t>REP-AGI-001</t>
  </si>
  <si>
    <t>Aspa agitador</t>
  </si>
  <si>
    <t>SPX Flow</t>
  </si>
  <si>
    <t>BOM-037</t>
  </si>
  <si>
    <t>REP-AGI-002</t>
  </si>
  <si>
    <t>Motorreductor</t>
  </si>
  <si>
    <t>SEW Eurodrive</t>
  </si>
  <si>
    <t>BOM-038</t>
  </si>
  <si>
    <t>REP-DOS-001</t>
  </si>
  <si>
    <t>Sensor peso</t>
  </si>
  <si>
    <t>Siemens</t>
  </si>
  <si>
    <t>BOM-039</t>
  </si>
  <si>
    <t>REP-DOS-002</t>
  </si>
  <si>
    <t>Celda carga</t>
  </si>
  <si>
    <t>BOM-040</t>
  </si>
  <si>
    <t>Tablero Eléctrico Fuerza</t>
  </si>
  <si>
    <t>REP-TAB-001</t>
  </si>
  <si>
    <t>Interruptor MCCB</t>
  </si>
  <si>
    <t>Schneider</t>
  </si>
  <si>
    <t>BOM-041</t>
  </si>
  <si>
    <t>REP-TAB-002</t>
  </si>
  <si>
    <t>Contactor</t>
  </si>
  <si>
    <t>BOM-042</t>
  </si>
  <si>
    <t>REP-TAB-003</t>
  </si>
  <si>
    <t>Relé térmico</t>
  </si>
  <si>
    <t>BOM-043</t>
  </si>
  <si>
    <t>Variador Frecuencia VDF</t>
  </si>
  <si>
    <t>REP-VDF-001</t>
  </si>
  <si>
    <t>Ventilador interno</t>
  </si>
  <si>
    <t>BOM-044</t>
  </si>
  <si>
    <t>REP-VDF-002</t>
  </si>
  <si>
    <t>Tarjeta control</t>
  </si>
  <si>
    <t>BOM-045</t>
  </si>
  <si>
    <t>REP-VDF-003</t>
  </si>
  <si>
    <t>Fusible ultrarrápido</t>
  </si>
  <si>
    <t>Bussmann</t>
  </si>
  <si>
    <t>BOM-046</t>
  </si>
  <si>
    <t>REP-LUB-001</t>
  </si>
  <si>
    <t>Filtro aceite</t>
  </si>
  <si>
    <t>Donaldson</t>
  </si>
  <si>
    <t>BOM-047</t>
  </si>
  <si>
    <t>REP-LUB-002</t>
  </si>
  <si>
    <t>Bomba lubricación</t>
  </si>
  <si>
    <t>Lincoln</t>
  </si>
  <si>
    <t>BOM-048</t>
  </si>
  <si>
    <t>REP-LUB-003</t>
  </si>
  <si>
    <t>Manómetro presión</t>
  </si>
  <si>
    <t>Wika</t>
  </si>
  <si>
    <t>BOM-049</t>
  </si>
  <si>
    <t>REP-AGU-001</t>
  </si>
  <si>
    <t>BOM-050</t>
  </si>
  <si>
    <t>REP-AGU-002</t>
  </si>
  <si>
    <t>Rodamiento bomba</t>
  </si>
  <si>
    <t>Impacto</t>
  </si>
  <si>
    <t>Fácil reemplazo</t>
  </si>
  <si>
    <t>No afecta operación</t>
  </si>
  <si>
    <t>Impacto moderado</t>
  </si>
  <si>
    <t>Puede retrasar mantenimiento</t>
  </si>
  <si>
    <t>Repuesto importante</t>
  </si>
  <si>
    <t>Puede detener proceso parcial</t>
  </si>
  <si>
    <t>Repuesto estratégico</t>
  </si>
  <si>
    <t>Paraliza operación/planta</t>
  </si>
  <si>
    <t>TABLA CRITICIDDAD REPUESTO</t>
  </si>
  <si>
    <t>15 días</t>
  </si>
  <si>
    <t>10 días</t>
  </si>
  <si>
    <t>60 días</t>
  </si>
  <si>
    <t>5 días</t>
  </si>
  <si>
    <t>45 días</t>
  </si>
  <si>
    <t>120 días</t>
  </si>
  <si>
    <t>180 días</t>
  </si>
  <si>
    <t>90 días</t>
  </si>
  <si>
    <t>20 días</t>
  </si>
  <si>
    <t>7 días</t>
  </si>
  <si>
    <t>30 días</t>
  </si>
  <si>
    <t>3 días</t>
  </si>
  <si>
    <t>Estado</t>
  </si>
  <si>
    <t>Costo Unitario</t>
  </si>
  <si>
    <t>850 USD</t>
  </si>
  <si>
    <t>320 USD</t>
  </si>
  <si>
    <t>6.500 USD</t>
  </si>
  <si>
    <t>120 USD</t>
  </si>
  <si>
    <t>3.800 USD</t>
  </si>
  <si>
    <t>85.000 USD</t>
  </si>
  <si>
    <t>250.000 USD</t>
  </si>
  <si>
    <t>45.000 USD</t>
  </si>
  <si>
    <t>950 USD</t>
  </si>
  <si>
    <t>180 USD</t>
  </si>
  <si>
    <t>350 USD</t>
  </si>
  <si>
    <t>420 USD</t>
  </si>
  <si>
    <t>220 USD</t>
  </si>
  <si>
    <t>80 USD</t>
  </si>
  <si>
    <t>2.500 USD</t>
  </si>
  <si>
    <t>450 USD</t>
  </si>
  <si>
    <t>28.000 USD</t>
  </si>
  <si>
    <t>24.000 USD</t>
  </si>
  <si>
    <t>7.500 USD</t>
  </si>
  <si>
    <t>1.800 USD</t>
  </si>
  <si>
    <t>280 USD</t>
  </si>
  <si>
    <t>650 USD</t>
  </si>
  <si>
    <t>1.500 USD</t>
  </si>
  <si>
    <t>380 USD</t>
  </si>
  <si>
    <t>45 USD</t>
  </si>
  <si>
    <t>6.000 USD</t>
  </si>
  <si>
    <t>3.500 USD</t>
  </si>
  <si>
    <t>12.000 USD</t>
  </si>
  <si>
    <t>1.200 USD</t>
  </si>
  <si>
    <t>2.800 USD</t>
  </si>
  <si>
    <t>140 USD</t>
  </si>
  <si>
    <t>18.000 USD</t>
  </si>
  <si>
    <t>85 USD</t>
  </si>
  <si>
    <t>95 USD</t>
  </si>
  <si>
    <t>5.800 USD</t>
  </si>
  <si>
    <t>240 USD</t>
  </si>
  <si>
    <t>750 USD</t>
  </si>
  <si>
    <t>Lead Time</t>
  </si>
  <si>
    <t>Personas</t>
  </si>
  <si>
    <t>Duración</t>
  </si>
  <si>
    <t>Supervisor Mecánico</t>
  </si>
  <si>
    <t>Ing. Confiabilidad</t>
  </si>
  <si>
    <t>Técnico Mecánico</t>
  </si>
  <si>
    <t>Supervisor Eléctrico</t>
  </si>
  <si>
    <t>Técnico Eléctrico</t>
  </si>
  <si>
    <t>Supervisor Hidráulico</t>
  </si>
  <si>
    <t>Inspector Mecánico</t>
  </si>
  <si>
    <t>Técnico Instrumentista</t>
  </si>
  <si>
    <t>Lubricador Industrial</t>
  </si>
  <si>
    <t xml:space="preserve">  </t>
  </si>
  <si>
    <t>MIN</t>
  </si>
  <si>
    <t>CH</t>
  </si>
  <si>
    <t>MOL</t>
  </si>
  <si>
    <t>BOM</t>
  </si>
  <si>
    <t>RED</t>
  </si>
  <si>
    <t>CHA</t>
  </si>
  <si>
    <t>TRA</t>
  </si>
  <si>
    <t>SER</t>
  </si>
  <si>
    <t>AIR</t>
  </si>
  <si>
    <t>TRI</t>
  </si>
  <si>
    <t>CLA</t>
  </si>
  <si>
    <t>VEN</t>
  </si>
  <si>
    <t>ENE</t>
  </si>
  <si>
    <t>PRO</t>
  </si>
  <si>
    <t>DOS</t>
  </si>
  <si>
    <t>DIS</t>
  </si>
  <si>
    <t>LUB</t>
  </si>
  <si>
    <t>Area</t>
  </si>
  <si>
    <t>Tag</t>
  </si>
  <si>
    <t>MIN-CH-MOL-BOM-A001</t>
  </si>
  <si>
    <t>MIN-CH-MOL-BOM-A002</t>
  </si>
  <si>
    <t>MIN-CH-MOL-RED-A003</t>
  </si>
  <si>
    <t>MIN-CH-CHA-TRA-A004</t>
  </si>
  <si>
    <t>MIN-CH-CHA-TRA-A005</t>
  </si>
  <si>
    <t>MIN-CH-SER-AIR-A006</t>
  </si>
  <si>
    <t>MIN-CH-CHA-TRI-A007</t>
  </si>
  <si>
    <t>MIN-CH-CHA-CLA-A008</t>
  </si>
  <si>
    <t>MIN-CH-SER-VEN-A009</t>
  </si>
  <si>
    <t>MIN-CH-ENE-RES-A010</t>
  </si>
  <si>
    <t>MIN-CH-MOL-ACC-A011</t>
  </si>
  <si>
    <t>MIN-CH-SER-ACC-A012</t>
  </si>
  <si>
    <t>MIN-CH-CHA-HID-A013</t>
  </si>
  <si>
    <t>MIN-CH-MOL-ALM-A014</t>
  </si>
  <si>
    <t>MIN-CH-MOL-AGI-A015</t>
  </si>
  <si>
    <t>MIN-CH-PRO-DOS-A016</t>
  </si>
  <si>
    <t>MIN-CH-ENE-DIS-A017</t>
  </si>
  <si>
    <t>MIN-CH-ENE-CON-A018</t>
  </si>
  <si>
    <t>MIN-CH-MOL-LUB-A019</t>
  </si>
  <si>
    <t>MIN-CH-SER-SUM-A020</t>
  </si>
  <si>
    <r>
      <rPr>
        <sz val="11"/>
        <color rgb="FF00B050"/>
        <rFont val="Calibri"/>
        <family val="2"/>
        <scheme val="minor"/>
      </rPr>
      <t xml:space="preserve">Empresa -  Planta/Sitio -  Área </t>
    </r>
    <r>
      <rPr>
        <sz val="11"/>
        <color theme="1"/>
        <rFont val="Calibri"/>
        <family val="2"/>
        <scheme val="minor"/>
      </rPr>
      <t xml:space="preserve">-  Sistema - </t>
    </r>
    <r>
      <rPr>
        <sz val="11"/>
        <color rgb="FF00B050"/>
        <rFont val="Calibri"/>
        <family val="2"/>
        <scheme val="minor"/>
      </rPr>
      <t xml:space="preserve"> Equipo</t>
    </r>
  </si>
  <si>
    <t>TAG</t>
  </si>
  <si>
    <t>PULP</t>
  </si>
  <si>
    <t>MOLI</t>
  </si>
  <si>
    <t>COR</t>
  </si>
  <si>
    <t>COM</t>
  </si>
  <si>
    <t>HAR</t>
  </si>
  <si>
    <t>EXT</t>
  </si>
  <si>
    <t>ELE</t>
  </si>
  <si>
    <t>GEN</t>
  </si>
  <si>
    <t>MAN</t>
  </si>
  <si>
    <t>ACC</t>
  </si>
  <si>
    <t>OLEO</t>
  </si>
  <si>
    <t>PUL</t>
  </si>
  <si>
    <t>ALM</t>
  </si>
  <si>
    <t>AGI</t>
  </si>
  <si>
    <t>ALI</t>
  </si>
  <si>
    <t>FUE</t>
  </si>
  <si>
    <t>CONT</t>
  </si>
  <si>
    <t>AGU</t>
  </si>
  <si>
    <t>Motor Electrico 150 HP</t>
  </si>
  <si>
    <t>Motor Electrico 75 HP</t>
  </si>
  <si>
    <t>Sistema Lubricacion Forzada</t>
  </si>
  <si>
    <t>Clasificacion</t>
  </si>
  <si>
    <t>Generacion</t>
  </si>
  <si>
    <t>Oleohidraulica</t>
  </si>
  <si>
    <t>Lubricacion</t>
  </si>
  <si>
    <t>Central Hidraulica de Potencia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</si>
  <si>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</si>
  <si>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</si>
  <si>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</si>
  <si>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</si>
  <si>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</si>
  <si>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</si>
  <si>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</si>
  <si>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</si>
  <si>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</si>
  <si>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</si>
  <si>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</si>
  <si>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</si>
  <si>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</si>
  <si>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</si>
  <si>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</si>
  <si>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</si>
  <si>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</si>
  <si>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</si>
  <si>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</si>
  <si>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</si>
  <si>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MIN-CH-MOL-PULP-BOM-A001</t>
  </si>
  <si>
    <t>MIN-CH-MOL-PULP-BOM-A002</t>
  </si>
  <si>
    <t>MIN-CH-MOL-MOL-RED-A003</t>
  </si>
  <si>
    <t>MIN-CH-CHA-TRA-COR-A004</t>
  </si>
  <si>
    <t>MIN-CH-CHA-TRA-COR-A005</t>
  </si>
  <si>
    <t>MIN-CH-SER-AIR-COM-A006</t>
  </si>
  <si>
    <t>MIN-CH-CHA-TRI-RED-A007</t>
  </si>
  <si>
    <t>MIN-CH-CHA-CLA-HAR-A008</t>
  </si>
  <si>
    <t>MIN-CH-SER-VEN-EXT-A009</t>
  </si>
  <si>
    <t>MIN-CH-ENE-ELE-GEN-A010</t>
  </si>
  <si>
    <t>MIN-CH-MOL-PULP-ACC-A011</t>
  </si>
  <si>
    <t>MIN-CH-SER-AIR-ACC-A012</t>
  </si>
  <si>
    <t>MIN-CH-CHA-TRI-OLEO-A013</t>
  </si>
  <si>
    <t>MIN-CH-MOL-PULP-ALM-A014</t>
  </si>
  <si>
    <t>MIN-CH-MOL-PULP-AGI-A015</t>
  </si>
  <si>
    <t>MIN-CH-PRO-DOS-ALI-A016</t>
  </si>
  <si>
    <t>MIN-CH-ENE-PULP-CONT-A018</t>
  </si>
  <si>
    <t>MIN-CH-ENE-DIS-FUE-A017</t>
  </si>
  <si>
    <t>MIN-CH-MOL-MOL-LUB-A019</t>
  </si>
  <si>
    <t>MIN-CH-SER-AGU-BOM-A020</t>
  </si>
  <si>
    <t>UT</t>
  </si>
  <si>
    <t>Modo de Falla</t>
  </si>
  <si>
    <t>Severidad</t>
  </si>
  <si>
    <t>Ocurrencia</t>
  </si>
  <si>
    <t>Deteccion</t>
  </si>
  <si>
    <t>AREA</t>
  </si>
  <si>
    <t>Subsistemas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</si>
</sst>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1" fillId="0" borderId="0" xfId="0" applyFont="1"/>
    <xf numFmtId="0" fontId="2" fillId="0" borderId="0" xfId="0" applyFont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6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  <xf numFmtId="0" fontId="2" fillId="7" borderId="0" xfId="0" applyFont="1" applyFill="1" applyAlignment="1">
      <alignment horizontal="center" vertical="center" wrapText="1" readingOrder="1"/>
    </xf>
    <xf numFmtId="0" fontId="2" fillId="5" borderId="0" xfId="0" applyFont="1" applyFill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 applyAlignment="1">
      <alignment vertical="center" wrapText="1"/>
    </xf>
    <xf numFmtId="0" fontId="0" fillId="0" borderId="7" xfId="0" applyBorder="1"/>
    <xf numFmtId="0" fontId="8" fillId="0" borderId="1" xfId="0" applyFont="1" applyBorder="1"/>
    <xf numFmtId="0" fontId="7" fillId="0" borderId="0" xfId="0" applyFont="1"/>
    <xf numFmtId="0" fontId="10" fillId="0" borderId="0" xfId="0" applyFont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center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B45AF4-1552-45A4-A35F-464827E38461}" name="Tabla1" displayName="Tabla1" ref="A1:H21" totalsRowShown="0" headerRowDxfId="9" dataDxfId="8">
  <autoFilter ref="A1:H21" xr:uid="{00B45AF4-1552-45A4-A35F-464827E38461}"/>
  <tableColumns count="8">
    <tableColumn id="1" xr3:uid="{316692B8-BCB6-4B2C-A1C0-5901EA8134FE}" name="Empresa" dataDxfId="7"/>
    <tableColumn id="2" xr3:uid="{39CB9DEB-9B04-4128-81FA-416914DF76A5}" name="Planta / Sitio" dataDxfId="6"/>
    <tableColumn id="3" xr3:uid="{A8D85818-FAFC-41A6-90EC-B15D87F2A161}" name="Área" dataDxfId="5"/>
    <tableColumn id="4" xr3:uid="{BB8A9A9B-4038-430B-AEA2-E3E269E6AFF1}" name="Sistema" dataDxfId="4"/>
    <tableColumn id="5" xr3:uid="{5E6FEF2A-8F96-4356-9CEF-F92E51EF13D0}" name="SubSistema" dataDxfId="3"/>
    <tableColumn id="6" xr3:uid="{A9E1C1CB-BAC0-4F10-9BEC-C9DBD4617138}" name="Tag" dataDxfId="2">
      <calculatedColumnFormula>"A"&amp;TEXT(ROW(A1),"000")</calculatedColumnFormula>
    </tableColumn>
    <tableColumn id="7" xr3:uid="{8E0F7842-9FC8-4E17-A6C0-3F40B8221357}" name="Ubicación Técnica" dataDxfId="1"/>
    <tableColumn id="8" xr3:uid="{2460CC85-2264-43F6-803F-E2867C06EC55}" name="Equipo / Componen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FB9C51-504A-4648-A948-83DB2C64D129}" name="Tabla2" displayName="Tabla2" ref="A1:P21" totalsRowShown="0" headerRowDxfId="26" dataDxfId="25">
  <autoFilter ref="A1:P21" xr:uid="{B7FB9C51-504A-4648-A948-83DB2C64D129}"/>
  <tableColumns count="16">
    <tableColumn id="1" xr3:uid="{833999D0-96FB-428D-A1AF-0860E118B88D}" name="Equipo / Componente" dataDxfId="24"/>
    <tableColumn id="2" xr3:uid="{6E3CECEE-D36E-4CEC-8FD2-EBBD05E675E4}" name="Tag" dataDxfId="23">
      <calculatedColumnFormula>"A"&amp;TEXT(ROW(A1),"000")</calculatedColumnFormula>
    </tableColumn>
    <tableColumn id="4" xr3:uid="{EC1CF033-1CE0-4942-AD5C-E6F4BDBD3F91}" name="Falla Funcional" dataDxfId="22"/>
    <tableColumn id="5" xr3:uid="{3AACF01B-23DD-4FF1-B136-41D533AE7DF9}" name="Modo de Falla" dataDxfId="21"/>
    <tableColumn id="6" xr3:uid="{FF5AD2E2-8C1B-43DE-9C2D-7B4D16889D2D}" name="Efecto de la Falla" dataDxfId="20"/>
    <tableColumn id="7" xr3:uid="{8F5EA0B0-E1AD-4233-BF33-667A55BE3092}" name="Severidad" dataDxfId="19"/>
    <tableColumn id="8" xr3:uid="{4C33BA55-0B66-451A-AB07-7EA2DF240C30}" name="Ocurrencia" dataDxfId="18"/>
    <tableColumn id="9" xr3:uid="{FF750DE9-4658-4533-AF27-98F681A5E22B}" name="Deteccion" dataDxfId="17"/>
    <tableColumn id="10" xr3:uid="{435A18A0-F7D0-4FCD-B6AE-781B2F268A18}" name="NPR" dataDxfId="16">
      <calculatedColumnFormula>F2*G2*H2</calculatedColumnFormula>
    </tableColumn>
    <tableColumn id="11" xr3:uid="{E44C2B84-D4D6-4D23-BB6E-5EE9B1C081ED}" name="Criticidad  ">
      <calculatedColumnFormula>IF(I2&lt;=50, "Baja", IF(I2&lt;=120, "Media", IF(I2&lt;=200, "Alta", "Crítica")))</calculatedColumnFormula>
    </tableColumn>
    <tableColumn id="12" xr3:uid="{F522345A-6205-4A5E-A1DB-D4783132D72B}" name="Acción Recomendada" dataDxfId="15"/>
    <tableColumn id="13" xr3:uid="{7D515C21-7D89-45A3-9CC3-4323604A5638}" name="Estrategia " dataDxfId="14"/>
    <tableColumn id="14" xr3:uid="{47D994A7-B4C1-439D-8DEE-C9B1E648A120}" name="Tarea de mtto" dataDxfId="13"/>
    <tableColumn id="15" xr3:uid="{49969509-21CB-438C-8540-9A773422DED8}" name="Frecuencia" dataDxfId="12"/>
    <tableColumn id="16" xr3:uid="{1F99611C-5C10-41AD-9838-9CFF6AC06A56}" name="Especialidad" dataDxfId="11"/>
    <tableColumn id="17" xr3:uid="{FCA02554-A578-444C-9966-501D8A2BAE21}" name="Codigo pauta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70D9-0777-408D-AC32-E4AC087CB1DC}">
  <dimension ref="B2:U29"/>
  <sheetViews>
    <sheetView topLeftCell="K1" zoomScaleNormal="100" workbookViewId="0">
      <selection activeCell="Q7" sqref="Q7"/>
    </sheetView>
  </sheetViews>
  <sheetFormatPr baseColWidth="10" defaultColWidth="10.85546875" defaultRowHeight="15" x14ac:dyDescent="0.25"/>
  <cols>
    <col min="1" max="1" width="10.85546875" style="1"/>
    <col min="2" max="2" width="8.42578125" style="1" customWidth="1"/>
    <col min="3" max="3" width="11.28515625" style="1" customWidth="1"/>
    <col min="4" max="4" width="18.5703125" style="1" customWidth="1"/>
    <col min="5" max="5" width="6.42578125" style="1" customWidth="1"/>
    <col min="6" max="6" width="12.5703125" style="1" customWidth="1"/>
    <col min="7" max="7" width="13.7109375" style="1" customWidth="1"/>
    <col min="8" max="8" width="24.28515625" style="1" customWidth="1"/>
    <col min="9" max="9" width="10.85546875" style="1"/>
    <col min="10" max="10" width="14.7109375" style="1" customWidth="1"/>
    <col min="11" max="11" width="14.28515625" style="1" customWidth="1"/>
    <col min="12" max="12" width="18" style="1" customWidth="1"/>
    <col min="13" max="13" width="23.5703125" style="1" customWidth="1"/>
    <col min="14" max="14" width="5" style="1" customWidth="1"/>
    <col min="15" max="15" width="10.85546875" style="1"/>
    <col min="16" max="16" width="16.140625" style="1" customWidth="1"/>
    <col min="17" max="17" width="21.5703125" style="1" customWidth="1"/>
    <col min="18" max="18" width="6.140625" style="1" customWidth="1"/>
    <col min="19" max="20" width="10.85546875" style="1"/>
    <col min="21" max="21" width="25.7109375" style="1" customWidth="1"/>
    <col min="22" max="16384" width="10.85546875" style="1"/>
  </cols>
  <sheetData>
    <row r="2" spans="2:21" x14ac:dyDescent="0.25">
      <c r="B2" s="40" t="s">
        <v>141</v>
      </c>
      <c r="C2" s="42"/>
      <c r="D2" s="41"/>
      <c r="F2" s="40" t="s">
        <v>172</v>
      </c>
      <c r="G2" s="41"/>
      <c r="O2" s="39" t="s">
        <v>204</v>
      </c>
      <c r="P2" s="39"/>
      <c r="Q2" s="39"/>
    </row>
    <row r="3" spans="2:21" x14ac:dyDescent="0.25">
      <c r="B3" s="10" t="s">
        <v>138</v>
      </c>
      <c r="C3" s="10" t="s">
        <v>139</v>
      </c>
      <c r="D3" s="10" t="s">
        <v>140</v>
      </c>
      <c r="F3" s="16" t="s">
        <v>166</v>
      </c>
      <c r="G3" s="16" t="s">
        <v>131</v>
      </c>
      <c r="O3" s="16" t="s">
        <v>64</v>
      </c>
      <c r="P3" s="16" t="s">
        <v>194</v>
      </c>
      <c r="Q3" s="16" t="s">
        <v>195</v>
      </c>
    </row>
    <row r="4" spans="2:21" x14ac:dyDescent="0.25">
      <c r="B4" s="9">
        <v>1</v>
      </c>
      <c r="C4" s="9" t="s">
        <v>142</v>
      </c>
      <c r="D4" s="9" t="s">
        <v>147</v>
      </c>
      <c r="F4" s="14" t="s">
        <v>167</v>
      </c>
      <c r="G4" s="17" t="s">
        <v>143</v>
      </c>
      <c r="O4" s="14" t="s">
        <v>196</v>
      </c>
      <c r="P4" s="17" t="s">
        <v>143</v>
      </c>
      <c r="Q4" s="14" t="s">
        <v>197</v>
      </c>
    </row>
    <row r="5" spans="2:21" x14ac:dyDescent="0.25">
      <c r="B5" s="9">
        <v>2</v>
      </c>
      <c r="C5" s="9" t="s">
        <v>143</v>
      </c>
      <c r="D5" s="9" t="s">
        <v>148</v>
      </c>
      <c r="F5" s="14" t="s">
        <v>168</v>
      </c>
      <c r="G5" s="19" t="s">
        <v>144</v>
      </c>
      <c r="O5" s="14" t="s">
        <v>198</v>
      </c>
      <c r="P5" s="19" t="s">
        <v>144</v>
      </c>
      <c r="Q5" s="14" t="s">
        <v>199</v>
      </c>
    </row>
    <row r="6" spans="2:21" x14ac:dyDescent="0.25">
      <c r="B6" s="9">
        <v>3</v>
      </c>
      <c r="C6" s="9" t="s">
        <v>144</v>
      </c>
      <c r="D6" s="9" t="s">
        <v>149</v>
      </c>
      <c r="F6" s="14" t="s">
        <v>169</v>
      </c>
      <c r="G6" s="18" t="s">
        <v>145</v>
      </c>
      <c r="O6" s="14" t="s">
        <v>200</v>
      </c>
      <c r="P6" s="18" t="s">
        <v>145</v>
      </c>
      <c r="Q6" s="14" t="s">
        <v>201</v>
      </c>
    </row>
    <row r="7" spans="2:21" x14ac:dyDescent="0.25">
      <c r="B7" s="9">
        <v>4</v>
      </c>
      <c r="C7" s="9" t="s">
        <v>145</v>
      </c>
      <c r="D7" s="9" t="s">
        <v>150</v>
      </c>
      <c r="F7" s="14" t="s">
        <v>170</v>
      </c>
      <c r="G7" s="20" t="s">
        <v>171</v>
      </c>
      <c r="O7" s="14" t="s">
        <v>202</v>
      </c>
      <c r="P7" s="20" t="s">
        <v>171</v>
      </c>
      <c r="Q7" s="14" t="s">
        <v>203</v>
      </c>
    </row>
    <row r="8" spans="2:21" x14ac:dyDescent="0.25">
      <c r="B8" s="9">
        <v>5</v>
      </c>
      <c r="C8" s="9" t="s">
        <v>146</v>
      </c>
      <c r="D8" s="9" t="s">
        <v>151</v>
      </c>
    </row>
    <row r="10" spans="2:21" x14ac:dyDescent="0.25">
      <c r="H10" s="12"/>
      <c r="K10" s="39" t="s">
        <v>220</v>
      </c>
      <c r="L10" s="39"/>
      <c r="M10" s="39"/>
      <c r="O10" s="39" t="s">
        <v>238</v>
      </c>
      <c r="P10" s="39"/>
      <c r="Q10" s="39"/>
      <c r="S10" s="39" t="s">
        <v>254</v>
      </c>
      <c r="T10" s="39"/>
      <c r="U10" s="39"/>
    </row>
    <row r="11" spans="2:21" ht="29.1" customHeight="1" x14ac:dyDescent="0.25">
      <c r="C11" s="40" t="s">
        <v>159</v>
      </c>
      <c r="D11" s="41"/>
      <c r="E11" s="11"/>
      <c r="F11" s="39" t="s">
        <v>185</v>
      </c>
      <c r="G11" s="39"/>
      <c r="H11" s="39"/>
      <c r="I11" s="12"/>
      <c r="K11" s="16" t="s">
        <v>61</v>
      </c>
      <c r="L11" s="16" t="s">
        <v>173</v>
      </c>
      <c r="M11" s="16" t="s">
        <v>127</v>
      </c>
      <c r="O11" s="16" t="s">
        <v>62</v>
      </c>
      <c r="P11" s="16" t="s">
        <v>173</v>
      </c>
      <c r="Q11" s="16" t="s">
        <v>221</v>
      </c>
      <c r="S11" s="16" t="s">
        <v>63</v>
      </c>
      <c r="T11" s="16" t="s">
        <v>173</v>
      </c>
      <c r="U11" s="16" t="s">
        <v>239</v>
      </c>
    </row>
    <row r="12" spans="2:21" ht="18.600000000000001" customHeight="1" x14ac:dyDescent="0.25">
      <c r="C12" s="16" t="s">
        <v>152</v>
      </c>
      <c r="D12" s="16" t="s">
        <v>153</v>
      </c>
      <c r="E12" s="11"/>
      <c r="F12" s="16" t="s">
        <v>152</v>
      </c>
      <c r="G12" s="16" t="s">
        <v>173</v>
      </c>
      <c r="H12" s="16" t="s">
        <v>174</v>
      </c>
      <c r="I12" s="11"/>
      <c r="K12" s="14">
        <v>1</v>
      </c>
      <c r="L12" s="15" t="s">
        <v>186</v>
      </c>
      <c r="M12" s="15" t="s">
        <v>187</v>
      </c>
      <c r="O12" s="14">
        <v>1</v>
      </c>
      <c r="P12" s="15" t="s">
        <v>222</v>
      </c>
      <c r="Q12" s="15" t="s">
        <v>223</v>
      </c>
      <c r="S12" s="14">
        <v>1</v>
      </c>
      <c r="T12" s="15" t="s">
        <v>240</v>
      </c>
      <c r="U12" s="15" t="s">
        <v>241</v>
      </c>
    </row>
    <row r="13" spans="2:21" ht="15.6" customHeight="1" x14ac:dyDescent="0.25">
      <c r="C13" s="14">
        <v>1</v>
      </c>
      <c r="D13" s="14" t="s">
        <v>154</v>
      </c>
      <c r="E13" s="11"/>
      <c r="F13" s="14">
        <v>1</v>
      </c>
      <c r="G13" s="14" t="s">
        <v>175</v>
      </c>
      <c r="H13" s="14" t="s">
        <v>176</v>
      </c>
      <c r="I13" s="11"/>
      <c r="K13" s="14">
        <v>2</v>
      </c>
      <c r="L13" s="15" t="s">
        <v>206</v>
      </c>
      <c r="M13" s="15" t="s">
        <v>207</v>
      </c>
      <c r="O13" s="14">
        <v>2</v>
      </c>
      <c r="P13" s="15" t="s">
        <v>224</v>
      </c>
      <c r="Q13" s="15" t="s">
        <v>225</v>
      </c>
      <c r="S13" s="14">
        <v>2</v>
      </c>
      <c r="T13" s="15" t="s">
        <v>146</v>
      </c>
      <c r="U13" s="15" t="s">
        <v>242</v>
      </c>
    </row>
    <row r="14" spans="2:21" ht="32.1" customHeight="1" x14ac:dyDescent="0.25">
      <c r="C14" s="14">
        <v>2</v>
      </c>
      <c r="D14" s="14" t="s">
        <v>155</v>
      </c>
      <c r="E14" s="11"/>
      <c r="F14" s="14">
        <v>2</v>
      </c>
      <c r="G14" s="14" t="s">
        <v>177</v>
      </c>
      <c r="H14" s="14" t="s">
        <v>178</v>
      </c>
      <c r="I14" s="11"/>
      <c r="K14" s="14">
        <v>3</v>
      </c>
      <c r="L14" s="15" t="s">
        <v>143</v>
      </c>
      <c r="M14" s="15" t="s">
        <v>208</v>
      </c>
      <c r="O14" s="14">
        <v>3</v>
      </c>
      <c r="P14" s="15" t="s">
        <v>226</v>
      </c>
      <c r="Q14" s="15" t="s">
        <v>227</v>
      </c>
      <c r="S14" s="14">
        <v>3</v>
      </c>
      <c r="T14" s="15" t="s">
        <v>145</v>
      </c>
      <c r="U14" s="15" t="s">
        <v>243</v>
      </c>
    </row>
    <row r="15" spans="2:21" ht="14.1" customHeight="1" x14ac:dyDescent="0.25">
      <c r="C15" s="14">
        <v>3</v>
      </c>
      <c r="D15" s="14" t="s">
        <v>156</v>
      </c>
      <c r="E15" s="11"/>
      <c r="F15" s="14">
        <v>3</v>
      </c>
      <c r="G15" s="14" t="s">
        <v>179</v>
      </c>
      <c r="H15" s="14" t="s">
        <v>180</v>
      </c>
      <c r="I15" s="11"/>
      <c r="K15" s="14">
        <v>4</v>
      </c>
      <c r="L15" s="15" t="s">
        <v>209</v>
      </c>
      <c r="M15" s="15" t="s">
        <v>210</v>
      </c>
      <c r="O15" s="14">
        <v>4</v>
      </c>
      <c r="P15" s="15" t="s">
        <v>143</v>
      </c>
      <c r="Q15" s="15" t="s">
        <v>228</v>
      </c>
      <c r="S15" s="14">
        <v>4</v>
      </c>
      <c r="T15" s="15" t="s">
        <v>244</v>
      </c>
      <c r="U15" s="15" t="s">
        <v>245</v>
      </c>
    </row>
    <row r="16" spans="2:21" ht="25.5" customHeight="1" x14ac:dyDescent="0.25">
      <c r="C16" s="14">
        <v>4</v>
      </c>
      <c r="D16" s="14" t="s">
        <v>157</v>
      </c>
      <c r="F16" s="14">
        <v>4</v>
      </c>
      <c r="G16" s="14" t="s">
        <v>181</v>
      </c>
      <c r="H16" s="14" t="s">
        <v>182</v>
      </c>
      <c r="I16" s="11"/>
      <c r="K16" s="14">
        <v>5</v>
      </c>
      <c r="L16" s="15" t="s">
        <v>211</v>
      </c>
      <c r="M16" s="15" t="s">
        <v>212</v>
      </c>
      <c r="O16" s="14">
        <v>5</v>
      </c>
      <c r="P16" s="15" t="s">
        <v>211</v>
      </c>
      <c r="Q16" s="15" t="s">
        <v>229</v>
      </c>
      <c r="S16" s="14">
        <v>5</v>
      </c>
      <c r="T16" s="15" t="s">
        <v>211</v>
      </c>
      <c r="U16" s="15" t="s">
        <v>246</v>
      </c>
    </row>
    <row r="17" spans="3:21" ht="29.1" customHeight="1" x14ac:dyDescent="0.25">
      <c r="C17" s="14">
        <v>5</v>
      </c>
      <c r="D17" s="14" t="s">
        <v>158</v>
      </c>
      <c r="F17" s="14">
        <v>5</v>
      </c>
      <c r="G17" s="14" t="s">
        <v>183</v>
      </c>
      <c r="H17" s="14" t="s">
        <v>184</v>
      </c>
      <c r="K17" s="14">
        <v>6</v>
      </c>
      <c r="L17" s="15" t="s">
        <v>213</v>
      </c>
      <c r="M17" s="15" t="s">
        <v>214</v>
      </c>
      <c r="O17" s="14">
        <v>6</v>
      </c>
      <c r="P17" s="15" t="s">
        <v>230</v>
      </c>
      <c r="Q17" s="15" t="s">
        <v>231</v>
      </c>
      <c r="S17" s="14">
        <v>6</v>
      </c>
      <c r="T17" s="15" t="s">
        <v>143</v>
      </c>
      <c r="U17" s="15" t="s">
        <v>247</v>
      </c>
    </row>
    <row r="18" spans="3:21" ht="30.95" customHeight="1" x14ac:dyDescent="0.25">
      <c r="K18" s="14">
        <v>7</v>
      </c>
      <c r="L18" s="15" t="s">
        <v>145</v>
      </c>
      <c r="M18" s="15" t="s">
        <v>215</v>
      </c>
      <c r="O18" s="14">
        <v>7</v>
      </c>
      <c r="P18" s="15" t="s">
        <v>145</v>
      </c>
      <c r="Q18" s="15" t="s">
        <v>232</v>
      </c>
      <c r="S18" s="14">
        <v>7</v>
      </c>
      <c r="T18" s="15" t="s">
        <v>206</v>
      </c>
      <c r="U18" s="15" t="s">
        <v>248</v>
      </c>
    </row>
    <row r="19" spans="3:21" ht="27" customHeight="1" x14ac:dyDescent="0.25">
      <c r="C19" s="40" t="s">
        <v>165</v>
      </c>
      <c r="D19" s="41"/>
      <c r="F19" s="40" t="s">
        <v>192</v>
      </c>
      <c r="G19" s="42"/>
      <c r="H19" s="41"/>
      <c r="K19" s="14">
        <v>8</v>
      </c>
      <c r="L19" s="15" t="s">
        <v>146</v>
      </c>
      <c r="M19" s="15" t="s">
        <v>216</v>
      </c>
      <c r="O19" s="14">
        <v>8</v>
      </c>
      <c r="P19" s="15" t="s">
        <v>146</v>
      </c>
      <c r="Q19" s="15" t="s">
        <v>233</v>
      </c>
      <c r="S19" s="14">
        <v>8</v>
      </c>
      <c r="T19" s="15" t="s">
        <v>226</v>
      </c>
      <c r="U19" s="15" t="s">
        <v>249</v>
      </c>
    </row>
    <row r="20" spans="3:21" ht="30" customHeight="1" x14ac:dyDescent="0.25">
      <c r="C20" s="16" t="s">
        <v>152</v>
      </c>
      <c r="D20" s="16" t="s">
        <v>153</v>
      </c>
      <c r="F20" s="16" t="s">
        <v>152</v>
      </c>
      <c r="G20" s="16" t="s">
        <v>173</v>
      </c>
      <c r="H20" s="16" t="s">
        <v>127</v>
      </c>
      <c r="K20" s="14">
        <v>9</v>
      </c>
      <c r="L20" s="15" t="s">
        <v>171</v>
      </c>
      <c r="M20" s="15" t="s">
        <v>217</v>
      </c>
      <c r="O20" s="14">
        <v>9</v>
      </c>
      <c r="P20" s="15" t="s">
        <v>234</v>
      </c>
      <c r="Q20" s="15" t="s">
        <v>235</v>
      </c>
      <c r="S20" s="14">
        <v>9</v>
      </c>
      <c r="T20" s="15" t="s">
        <v>250</v>
      </c>
      <c r="U20" s="15" t="s">
        <v>251</v>
      </c>
    </row>
    <row r="21" spans="3:21" ht="30.95" customHeight="1" x14ac:dyDescent="0.25">
      <c r="C21" s="14">
        <v>1</v>
      </c>
      <c r="D21" s="14" t="s">
        <v>160</v>
      </c>
      <c r="F21" s="14">
        <v>1</v>
      </c>
      <c r="G21" s="14" t="s">
        <v>186</v>
      </c>
      <c r="H21" s="14" t="s">
        <v>187</v>
      </c>
      <c r="K21" s="14">
        <v>10</v>
      </c>
      <c r="L21" s="15" t="s">
        <v>218</v>
      </c>
      <c r="M21" s="15" t="s">
        <v>219</v>
      </c>
      <c r="O21" s="14">
        <v>10</v>
      </c>
      <c r="P21" s="15" t="s">
        <v>236</v>
      </c>
      <c r="Q21" s="15" t="s">
        <v>237</v>
      </c>
      <c r="S21" s="14">
        <v>10</v>
      </c>
      <c r="T21" s="15" t="s">
        <v>252</v>
      </c>
      <c r="U21" s="15" t="s">
        <v>253</v>
      </c>
    </row>
    <row r="22" spans="3:21" ht="30" x14ac:dyDescent="0.25">
      <c r="C22" s="14">
        <v>2</v>
      </c>
      <c r="D22" s="14" t="s">
        <v>161</v>
      </c>
      <c r="F22" s="14">
        <v>2</v>
      </c>
      <c r="G22" s="14" t="s">
        <v>177</v>
      </c>
      <c r="H22" s="14" t="s">
        <v>188</v>
      </c>
    </row>
    <row r="23" spans="3:21" ht="27" customHeight="1" x14ac:dyDescent="0.25">
      <c r="C23" s="14">
        <v>3</v>
      </c>
      <c r="D23" s="14" t="s">
        <v>162</v>
      </c>
      <c r="F23" s="14">
        <v>3</v>
      </c>
      <c r="G23" s="14" t="s">
        <v>179</v>
      </c>
      <c r="H23" s="14" t="s">
        <v>189</v>
      </c>
    </row>
    <row r="24" spans="3:21" ht="30" x14ac:dyDescent="0.25">
      <c r="C24" s="14">
        <v>4</v>
      </c>
      <c r="D24" s="14" t="s">
        <v>163</v>
      </c>
      <c r="F24" s="14">
        <v>4</v>
      </c>
      <c r="G24" s="14" t="s">
        <v>181</v>
      </c>
      <c r="H24" s="14" t="s">
        <v>190</v>
      </c>
      <c r="K24" s="39" t="s">
        <v>672</v>
      </c>
      <c r="L24" s="39"/>
      <c r="M24" s="39"/>
    </row>
    <row r="25" spans="3:21" ht="30" x14ac:dyDescent="0.25">
      <c r="C25" s="14">
        <v>5</v>
      </c>
      <c r="D25" s="14" t="s">
        <v>164</v>
      </c>
      <c r="F25" s="14">
        <v>5</v>
      </c>
      <c r="G25" s="14" t="s">
        <v>183</v>
      </c>
      <c r="H25" s="14" t="s">
        <v>191</v>
      </c>
      <c r="K25" s="16" t="s">
        <v>173</v>
      </c>
      <c r="L25" s="16" t="s">
        <v>153</v>
      </c>
      <c r="M25" s="16" t="s">
        <v>663</v>
      </c>
    </row>
    <row r="26" spans="3:21" x14ac:dyDescent="0.25">
      <c r="K26" s="15" t="s">
        <v>143</v>
      </c>
      <c r="L26" s="15" t="s">
        <v>664</v>
      </c>
      <c r="M26" s="15" t="s">
        <v>665</v>
      </c>
    </row>
    <row r="27" spans="3:21" ht="30" x14ac:dyDescent="0.25">
      <c r="K27" s="15" t="s">
        <v>144</v>
      </c>
      <c r="L27" s="15" t="s">
        <v>666</v>
      </c>
      <c r="M27" s="15" t="s">
        <v>667</v>
      </c>
    </row>
    <row r="28" spans="3:21" ht="30" x14ac:dyDescent="0.25">
      <c r="K28" s="15" t="s">
        <v>145</v>
      </c>
      <c r="L28" s="15" t="s">
        <v>668</v>
      </c>
      <c r="M28" s="15" t="s">
        <v>669</v>
      </c>
    </row>
    <row r="29" spans="3:21" ht="30" x14ac:dyDescent="0.25">
      <c r="K29" s="15" t="s">
        <v>171</v>
      </c>
      <c r="L29" s="15" t="s">
        <v>670</v>
      </c>
      <c r="M29" s="15" t="s">
        <v>671</v>
      </c>
    </row>
  </sheetData>
  <mergeCells count="11">
    <mergeCell ref="S10:U10"/>
    <mergeCell ref="F2:G2"/>
    <mergeCell ref="F19:H19"/>
    <mergeCell ref="C19:D19"/>
    <mergeCell ref="K24:M24"/>
    <mergeCell ref="B2:D2"/>
    <mergeCell ref="C11:D11"/>
    <mergeCell ref="F11:H11"/>
    <mergeCell ref="O2:Q2"/>
    <mergeCell ref="K10:M10"/>
    <mergeCell ref="O10:Q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zoomScale="115" zoomScaleNormal="115" workbookViewId="0">
      <selection activeCell="G2" sqref="G2:G21"/>
    </sheetView>
  </sheetViews>
  <sheetFormatPr baseColWidth="10" defaultColWidth="8.7109375" defaultRowHeight="15" x14ac:dyDescent="0.25"/>
  <cols>
    <col min="1" max="1" width="19.85546875" customWidth="1"/>
    <col min="2" max="2" width="23.7109375" customWidth="1"/>
    <col min="3" max="3" width="13.85546875" customWidth="1"/>
    <col min="4" max="4" width="21" customWidth="1"/>
    <col min="5" max="5" width="18.42578125" customWidth="1"/>
    <col min="6" max="6" width="7.85546875" style="1" customWidth="1"/>
    <col min="7" max="7" width="44.42578125" customWidth="1"/>
    <col min="8" max="8" width="31.7109375" customWidth="1"/>
  </cols>
  <sheetData>
    <row r="1" spans="1:8" s="3" customFormat="1" x14ac:dyDescent="0.25">
      <c r="A1" s="5" t="s">
        <v>53</v>
      </c>
      <c r="B1" s="5" t="s">
        <v>54</v>
      </c>
      <c r="C1" s="5" t="s">
        <v>14</v>
      </c>
      <c r="D1" s="5" t="s">
        <v>15</v>
      </c>
      <c r="E1" s="5" t="s">
        <v>16</v>
      </c>
      <c r="F1" s="5" t="s">
        <v>755</v>
      </c>
      <c r="G1" s="5" t="s">
        <v>55</v>
      </c>
      <c r="H1" s="5" t="s">
        <v>32</v>
      </c>
    </row>
    <row r="2" spans="1:8" ht="18.600000000000001" customHeight="1" x14ac:dyDescent="0.25">
      <c r="A2" s="2" t="s">
        <v>56</v>
      </c>
      <c r="B2" s="2" t="s">
        <v>57</v>
      </c>
      <c r="C2" s="2" t="s">
        <v>17</v>
      </c>
      <c r="D2" s="2" t="s">
        <v>33</v>
      </c>
      <c r="E2" s="2" t="s">
        <v>34</v>
      </c>
      <c r="F2" s="1" t="str">
        <f>"A"&amp;TEXT(ROW(A1),"000")</f>
        <v>A001</v>
      </c>
      <c r="G2" s="13" t="s">
        <v>756</v>
      </c>
      <c r="H2" s="2" t="s">
        <v>1</v>
      </c>
    </row>
    <row r="3" spans="1:8" ht="18" customHeight="1" x14ac:dyDescent="0.25">
      <c r="A3" s="2" t="s">
        <v>56</v>
      </c>
      <c r="B3" s="2" t="s">
        <v>57</v>
      </c>
      <c r="C3" s="2" t="s">
        <v>17</v>
      </c>
      <c r="D3" s="2" t="s">
        <v>33</v>
      </c>
      <c r="E3" s="2" t="s">
        <v>34</v>
      </c>
      <c r="F3" s="1" t="str">
        <f t="shared" ref="F3:F21" si="0">"A"&amp;TEXT(ROW(A2),"000")</f>
        <v>A002</v>
      </c>
      <c r="G3" s="13" t="s">
        <v>757</v>
      </c>
      <c r="H3" s="2" t="s">
        <v>2</v>
      </c>
    </row>
    <row r="4" spans="1:8" ht="18.600000000000001" customHeight="1" x14ac:dyDescent="0.25">
      <c r="A4" s="2" t="s">
        <v>56</v>
      </c>
      <c r="B4" s="2" t="s">
        <v>57</v>
      </c>
      <c r="C4" s="2" t="s">
        <v>17</v>
      </c>
      <c r="D4" s="2" t="s">
        <v>17</v>
      </c>
      <c r="E4" s="2" t="s">
        <v>35</v>
      </c>
      <c r="F4" s="1" t="str">
        <f t="shared" si="0"/>
        <v>A003</v>
      </c>
      <c r="G4" s="13" t="s">
        <v>758</v>
      </c>
      <c r="H4" s="2" t="s">
        <v>3</v>
      </c>
    </row>
    <row r="5" spans="1:8" ht="18" customHeight="1" x14ac:dyDescent="0.25">
      <c r="A5" s="2" t="s">
        <v>56</v>
      </c>
      <c r="B5" s="2" t="s">
        <v>57</v>
      </c>
      <c r="C5" s="2" t="s">
        <v>18</v>
      </c>
      <c r="D5" s="2" t="s">
        <v>36</v>
      </c>
      <c r="E5" s="2" t="s">
        <v>19</v>
      </c>
      <c r="F5" s="1" t="str">
        <f t="shared" si="0"/>
        <v>A004</v>
      </c>
      <c r="G5" s="13" t="s">
        <v>759</v>
      </c>
      <c r="H5" s="2" t="s">
        <v>4</v>
      </c>
    </row>
    <row r="6" spans="1:8" ht="18" customHeight="1" x14ac:dyDescent="0.25">
      <c r="A6" s="2" t="s">
        <v>56</v>
      </c>
      <c r="B6" s="2" t="s">
        <v>57</v>
      </c>
      <c r="C6" s="2" t="s">
        <v>18</v>
      </c>
      <c r="D6" s="2" t="s">
        <v>36</v>
      </c>
      <c r="E6" s="2" t="s">
        <v>19</v>
      </c>
      <c r="F6" s="1" t="str">
        <f t="shared" si="0"/>
        <v>A005</v>
      </c>
      <c r="G6" s="13" t="s">
        <v>760</v>
      </c>
      <c r="H6" s="2" t="s">
        <v>5</v>
      </c>
    </row>
    <row r="7" spans="1:8" ht="18.600000000000001" customHeight="1" x14ac:dyDescent="0.25">
      <c r="A7" s="2" t="s">
        <v>56</v>
      </c>
      <c r="B7" s="2" t="s">
        <v>57</v>
      </c>
      <c r="C7" s="2" t="s">
        <v>20</v>
      </c>
      <c r="D7" s="2" t="s">
        <v>37</v>
      </c>
      <c r="E7" s="2" t="s">
        <v>25</v>
      </c>
      <c r="F7" s="1" t="str">
        <f t="shared" si="0"/>
        <v>A006</v>
      </c>
      <c r="G7" s="13" t="s">
        <v>761</v>
      </c>
      <c r="H7" s="2" t="s">
        <v>6</v>
      </c>
    </row>
    <row r="8" spans="1:8" ht="18.600000000000001" customHeight="1" x14ac:dyDescent="0.25">
      <c r="A8" s="2" t="s">
        <v>56</v>
      </c>
      <c r="B8" s="2" t="s">
        <v>57</v>
      </c>
      <c r="C8" s="2" t="s">
        <v>18</v>
      </c>
      <c r="D8" s="2" t="s">
        <v>21</v>
      </c>
      <c r="E8" s="2" t="s">
        <v>35</v>
      </c>
      <c r="F8" s="1" t="str">
        <f t="shared" si="0"/>
        <v>A007</v>
      </c>
      <c r="G8" s="13" t="s">
        <v>762</v>
      </c>
      <c r="H8" s="2" t="s">
        <v>7</v>
      </c>
    </row>
    <row r="9" spans="1:8" ht="18.600000000000001" customHeight="1" x14ac:dyDescent="0.25">
      <c r="A9" s="2" t="s">
        <v>56</v>
      </c>
      <c r="B9" s="2" t="s">
        <v>57</v>
      </c>
      <c r="C9" s="2" t="s">
        <v>18</v>
      </c>
      <c r="D9" s="2" t="s">
        <v>22</v>
      </c>
      <c r="E9" s="2" t="s">
        <v>38</v>
      </c>
      <c r="F9" s="1" t="str">
        <f t="shared" si="0"/>
        <v>A008</v>
      </c>
      <c r="G9" s="13" t="s">
        <v>763</v>
      </c>
      <c r="H9" s="2" t="s">
        <v>8</v>
      </c>
    </row>
    <row r="10" spans="1:8" ht="18.600000000000001" customHeight="1" x14ac:dyDescent="0.25">
      <c r="A10" s="2" t="s">
        <v>56</v>
      </c>
      <c r="B10" s="2" t="s">
        <v>57</v>
      </c>
      <c r="C10" s="2" t="s">
        <v>20</v>
      </c>
      <c r="D10" s="2" t="s">
        <v>23</v>
      </c>
      <c r="E10" s="2" t="s">
        <v>39</v>
      </c>
      <c r="F10" s="1" t="str">
        <f t="shared" si="0"/>
        <v>A009</v>
      </c>
      <c r="G10" s="13" t="s">
        <v>764</v>
      </c>
      <c r="H10" s="2" t="s">
        <v>9</v>
      </c>
    </row>
    <row r="11" spans="1:8" ht="18" customHeight="1" x14ac:dyDescent="0.25">
      <c r="A11" s="2" t="s">
        <v>56</v>
      </c>
      <c r="B11" s="2" t="s">
        <v>57</v>
      </c>
      <c r="C11" s="2" t="s">
        <v>24</v>
      </c>
      <c r="D11" s="2" t="s">
        <v>40</v>
      </c>
      <c r="E11" s="2" t="s">
        <v>25</v>
      </c>
      <c r="F11" s="1" t="str">
        <f t="shared" si="0"/>
        <v>A010</v>
      </c>
      <c r="G11" s="13" t="s">
        <v>765</v>
      </c>
      <c r="H11" s="2" t="s">
        <v>10</v>
      </c>
    </row>
    <row r="12" spans="1:8" ht="18" customHeight="1" x14ac:dyDescent="0.25">
      <c r="A12" s="2" t="s">
        <v>56</v>
      </c>
      <c r="B12" s="2" t="s">
        <v>57</v>
      </c>
      <c r="C12" s="2" t="s">
        <v>17</v>
      </c>
      <c r="D12" s="2" t="s">
        <v>33</v>
      </c>
      <c r="E12" s="2" t="s">
        <v>42</v>
      </c>
      <c r="F12" s="1" t="str">
        <f t="shared" si="0"/>
        <v>A011</v>
      </c>
      <c r="G12" s="13" t="s">
        <v>766</v>
      </c>
      <c r="H12" s="2" t="s">
        <v>41</v>
      </c>
    </row>
    <row r="13" spans="1:8" ht="18" customHeight="1" x14ac:dyDescent="0.25">
      <c r="A13" s="2" t="s">
        <v>56</v>
      </c>
      <c r="B13" s="2" t="s">
        <v>57</v>
      </c>
      <c r="C13" s="2" t="s">
        <v>20</v>
      </c>
      <c r="D13" s="2" t="s">
        <v>37</v>
      </c>
      <c r="E13" s="2" t="s">
        <v>42</v>
      </c>
      <c r="F13" s="1" t="str">
        <f t="shared" si="0"/>
        <v>A012</v>
      </c>
      <c r="G13" s="13" t="s">
        <v>767</v>
      </c>
      <c r="H13" s="2" t="s">
        <v>43</v>
      </c>
    </row>
    <row r="14" spans="1:8" ht="18" customHeight="1" x14ac:dyDescent="0.25">
      <c r="A14" s="2" t="s">
        <v>56</v>
      </c>
      <c r="B14" s="2" t="s">
        <v>57</v>
      </c>
      <c r="C14" s="2" t="s">
        <v>18</v>
      </c>
      <c r="D14" s="2" t="s">
        <v>21</v>
      </c>
      <c r="E14" s="2" t="s">
        <v>45</v>
      </c>
      <c r="F14" s="1" t="str">
        <f t="shared" si="0"/>
        <v>A013</v>
      </c>
      <c r="G14" s="13" t="s">
        <v>768</v>
      </c>
      <c r="H14" s="2" t="s">
        <v>44</v>
      </c>
    </row>
    <row r="15" spans="1:8" ht="18" customHeight="1" x14ac:dyDescent="0.25">
      <c r="A15" s="2" t="s">
        <v>56</v>
      </c>
      <c r="B15" s="2" t="s">
        <v>57</v>
      </c>
      <c r="C15" s="2" t="s">
        <v>17</v>
      </c>
      <c r="D15" s="2" t="s">
        <v>33</v>
      </c>
      <c r="E15" s="2" t="s">
        <v>26</v>
      </c>
      <c r="F15" s="1" t="str">
        <f t="shared" si="0"/>
        <v>A014</v>
      </c>
      <c r="G15" s="13" t="s">
        <v>769</v>
      </c>
      <c r="H15" s="2" t="s">
        <v>46</v>
      </c>
    </row>
    <row r="16" spans="1:8" ht="18" customHeight="1" x14ac:dyDescent="0.25">
      <c r="A16" s="2" t="s">
        <v>56</v>
      </c>
      <c r="B16" s="2" t="s">
        <v>57</v>
      </c>
      <c r="C16" s="2" t="s">
        <v>17</v>
      </c>
      <c r="D16" s="2" t="s">
        <v>33</v>
      </c>
      <c r="E16" s="2" t="s">
        <v>27</v>
      </c>
      <c r="F16" s="1" t="str">
        <f t="shared" si="0"/>
        <v>A015</v>
      </c>
      <c r="G16" s="13" t="s">
        <v>770</v>
      </c>
      <c r="H16" s="2" t="s">
        <v>11</v>
      </c>
    </row>
    <row r="17" spans="1:8" ht="18.600000000000001" customHeight="1" x14ac:dyDescent="0.25">
      <c r="A17" s="2" t="s">
        <v>56</v>
      </c>
      <c r="B17" s="2" t="s">
        <v>57</v>
      </c>
      <c r="C17" s="2" t="s">
        <v>28</v>
      </c>
      <c r="D17" s="2" t="s">
        <v>29</v>
      </c>
      <c r="E17" s="2" t="s">
        <v>47</v>
      </c>
      <c r="F17" s="1" t="str">
        <f t="shared" si="0"/>
        <v>A016</v>
      </c>
      <c r="G17" s="13" t="s">
        <v>771</v>
      </c>
      <c r="H17" s="2" t="s">
        <v>12</v>
      </c>
    </row>
    <row r="18" spans="1:8" ht="18" customHeight="1" x14ac:dyDescent="0.25">
      <c r="A18" s="2" t="s">
        <v>56</v>
      </c>
      <c r="B18" s="2" t="s">
        <v>57</v>
      </c>
      <c r="C18" s="2" t="s">
        <v>24</v>
      </c>
      <c r="D18" s="2" t="s">
        <v>30</v>
      </c>
      <c r="E18" s="2" t="s">
        <v>49</v>
      </c>
      <c r="F18" s="1" t="str">
        <f t="shared" si="0"/>
        <v>A017</v>
      </c>
      <c r="G18" s="13" t="s">
        <v>772</v>
      </c>
      <c r="H18" s="2" t="s">
        <v>48</v>
      </c>
    </row>
    <row r="19" spans="1:8" ht="18" customHeight="1" x14ac:dyDescent="0.25">
      <c r="A19" s="2" t="s">
        <v>56</v>
      </c>
      <c r="B19" s="2" t="s">
        <v>57</v>
      </c>
      <c r="C19" s="2" t="s">
        <v>24</v>
      </c>
      <c r="D19" s="2" t="s">
        <v>33</v>
      </c>
      <c r="E19" s="2" t="s">
        <v>51</v>
      </c>
      <c r="F19" s="1" t="str">
        <f t="shared" si="0"/>
        <v>A018</v>
      </c>
      <c r="G19" s="13" t="s">
        <v>773</v>
      </c>
      <c r="H19" s="2" t="s">
        <v>50</v>
      </c>
    </row>
    <row r="20" spans="1:8" ht="18" customHeight="1" x14ac:dyDescent="0.25">
      <c r="A20" s="2" t="s">
        <v>56</v>
      </c>
      <c r="B20" s="2" t="s">
        <v>57</v>
      </c>
      <c r="C20" s="2" t="s">
        <v>17</v>
      </c>
      <c r="D20" s="2" t="s">
        <v>17</v>
      </c>
      <c r="E20" s="2" t="s">
        <v>31</v>
      </c>
      <c r="F20" s="1" t="str">
        <f t="shared" si="0"/>
        <v>A019</v>
      </c>
      <c r="G20" s="13" t="s">
        <v>774</v>
      </c>
      <c r="H20" s="2" t="s">
        <v>58</v>
      </c>
    </row>
    <row r="21" spans="1:8" ht="18.600000000000001" customHeight="1" x14ac:dyDescent="0.25">
      <c r="A21" s="2" t="s">
        <v>56</v>
      </c>
      <c r="B21" s="2" t="s">
        <v>57</v>
      </c>
      <c r="C21" s="2" t="s">
        <v>20</v>
      </c>
      <c r="D21" s="2" t="s">
        <v>52</v>
      </c>
      <c r="E21" s="2" t="s">
        <v>34</v>
      </c>
      <c r="F21" s="1" t="str">
        <f t="shared" si="0"/>
        <v>A020</v>
      </c>
      <c r="G21" s="13" t="s">
        <v>775</v>
      </c>
      <c r="H21" s="2" t="s">
        <v>13</v>
      </c>
    </row>
    <row r="22" spans="1:8" x14ac:dyDescent="0.25">
      <c r="G22" t="s">
        <v>776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7CE5-2BBB-429E-A591-1716A0E790C4}">
  <dimension ref="A1:H22"/>
  <sheetViews>
    <sheetView workbookViewId="0">
      <selection activeCell="G3" sqref="G3:G22"/>
    </sheetView>
  </sheetViews>
  <sheetFormatPr baseColWidth="10" defaultRowHeight="15" x14ac:dyDescent="0.25"/>
  <cols>
    <col min="1" max="1" width="17.28515625" bestFit="1" customWidth="1"/>
    <col min="2" max="2" width="21.5703125" bestFit="1" customWidth="1"/>
    <col min="3" max="3" width="12.42578125" bestFit="1" customWidth="1"/>
    <col min="4" max="4" width="24.28515625" customWidth="1"/>
    <col min="5" max="5" width="19" bestFit="1" customWidth="1"/>
    <col min="6" max="6" width="8.28515625" bestFit="1" customWidth="1"/>
    <col min="7" max="7" width="38.140625" customWidth="1"/>
    <col min="8" max="8" width="29.42578125" bestFit="1" customWidth="1"/>
  </cols>
  <sheetData>
    <row r="1" spans="1:8" x14ac:dyDescent="0.25">
      <c r="A1" s="32"/>
      <c r="B1" s="33"/>
      <c r="C1" s="35"/>
      <c r="D1" s="33"/>
      <c r="E1" s="33"/>
      <c r="F1" s="33"/>
      <c r="G1" s="33"/>
      <c r="H1" s="33"/>
    </row>
    <row r="2" spans="1:8" x14ac:dyDescent="0.25">
      <c r="A2" s="34" t="s">
        <v>53</v>
      </c>
      <c r="B2" s="34" t="s">
        <v>54</v>
      </c>
      <c r="C2" s="34" t="s">
        <v>754</v>
      </c>
      <c r="D2" s="34" t="s">
        <v>15</v>
      </c>
      <c r="E2" s="34" t="s">
        <v>16</v>
      </c>
      <c r="F2" s="34" t="s">
        <v>777</v>
      </c>
      <c r="G2" s="34" t="s">
        <v>55</v>
      </c>
      <c r="H2" s="34" t="s">
        <v>32</v>
      </c>
    </row>
    <row r="3" spans="1:8" ht="18.75" customHeight="1" x14ac:dyDescent="0.25">
      <c r="A3" s="34" t="s">
        <v>56</v>
      </c>
      <c r="B3" s="34" t="s">
        <v>57</v>
      </c>
      <c r="C3" s="34" t="s">
        <v>17</v>
      </c>
      <c r="D3" s="34" t="s">
        <v>33</v>
      </c>
      <c r="E3" s="34" t="s">
        <v>34</v>
      </c>
      <c r="F3" s="34" t="s">
        <v>804</v>
      </c>
      <c r="G3" s="34" t="s">
        <v>824</v>
      </c>
      <c r="H3" s="34" t="s">
        <v>1</v>
      </c>
    </row>
    <row r="4" spans="1:8" ht="18.75" customHeight="1" x14ac:dyDescent="0.25">
      <c r="A4" s="34" t="s">
        <v>56</v>
      </c>
      <c r="B4" s="34" t="s">
        <v>57</v>
      </c>
      <c r="C4" s="34" t="s">
        <v>17</v>
      </c>
      <c r="D4" s="34" t="s">
        <v>33</v>
      </c>
      <c r="E4" s="34" t="s">
        <v>34</v>
      </c>
      <c r="F4" s="34" t="s">
        <v>805</v>
      </c>
      <c r="G4" s="34" t="s">
        <v>825</v>
      </c>
      <c r="H4" s="34" t="s">
        <v>2</v>
      </c>
    </row>
    <row r="5" spans="1:8" ht="18.75" customHeight="1" x14ac:dyDescent="0.25">
      <c r="A5" s="34" t="s">
        <v>56</v>
      </c>
      <c r="B5" s="34" t="s">
        <v>57</v>
      </c>
      <c r="C5" s="34" t="s">
        <v>17</v>
      </c>
      <c r="D5" s="34" t="s">
        <v>17</v>
      </c>
      <c r="E5" s="34" t="s">
        <v>35</v>
      </c>
      <c r="F5" s="34" t="s">
        <v>806</v>
      </c>
      <c r="G5" s="34" t="s">
        <v>826</v>
      </c>
      <c r="H5" s="34" t="s">
        <v>3</v>
      </c>
    </row>
    <row r="6" spans="1:8" ht="18.75" customHeight="1" x14ac:dyDescent="0.25">
      <c r="A6" s="34" t="s">
        <v>56</v>
      </c>
      <c r="B6" s="34" t="s">
        <v>57</v>
      </c>
      <c r="C6" s="34" t="s">
        <v>18</v>
      </c>
      <c r="D6" s="34" t="s">
        <v>36</v>
      </c>
      <c r="E6" s="34" t="s">
        <v>19</v>
      </c>
      <c r="F6" s="34" t="s">
        <v>807</v>
      </c>
      <c r="G6" s="34" t="s">
        <v>827</v>
      </c>
      <c r="H6" s="34" t="s">
        <v>4</v>
      </c>
    </row>
    <row r="7" spans="1:8" ht="18.75" customHeight="1" x14ac:dyDescent="0.25">
      <c r="A7" s="34" t="s">
        <v>56</v>
      </c>
      <c r="B7" s="34" t="s">
        <v>57</v>
      </c>
      <c r="C7" s="34" t="s">
        <v>18</v>
      </c>
      <c r="D7" s="34" t="s">
        <v>36</v>
      </c>
      <c r="E7" s="34" t="s">
        <v>19</v>
      </c>
      <c r="F7" s="34" t="s">
        <v>808</v>
      </c>
      <c r="G7" s="34" t="s">
        <v>828</v>
      </c>
      <c r="H7" s="34" t="s">
        <v>5</v>
      </c>
    </row>
    <row r="8" spans="1:8" ht="18.75" customHeight="1" x14ac:dyDescent="0.25">
      <c r="A8" s="34" t="s">
        <v>56</v>
      </c>
      <c r="B8" s="34" t="s">
        <v>57</v>
      </c>
      <c r="C8" s="34" t="s">
        <v>20</v>
      </c>
      <c r="D8" s="34" t="s">
        <v>37</v>
      </c>
      <c r="E8" s="34" t="s">
        <v>800</v>
      </c>
      <c r="F8" s="34" t="s">
        <v>809</v>
      </c>
      <c r="G8" s="34" t="s">
        <v>829</v>
      </c>
      <c r="H8" s="34" t="s">
        <v>6</v>
      </c>
    </row>
    <row r="9" spans="1:8" ht="18.75" customHeight="1" x14ac:dyDescent="0.25">
      <c r="A9" s="34" t="s">
        <v>56</v>
      </c>
      <c r="B9" s="34" t="s">
        <v>57</v>
      </c>
      <c r="C9" s="34" t="s">
        <v>18</v>
      </c>
      <c r="D9" s="34" t="s">
        <v>21</v>
      </c>
      <c r="E9" s="34" t="s">
        <v>35</v>
      </c>
      <c r="F9" s="34" t="s">
        <v>810</v>
      </c>
      <c r="G9" s="34" t="s">
        <v>830</v>
      </c>
      <c r="H9" s="34" t="s">
        <v>7</v>
      </c>
    </row>
    <row r="10" spans="1:8" ht="18.75" customHeight="1" x14ac:dyDescent="0.25">
      <c r="A10" s="34" t="s">
        <v>56</v>
      </c>
      <c r="B10" s="34" t="s">
        <v>57</v>
      </c>
      <c r="C10" s="34" t="s">
        <v>18</v>
      </c>
      <c r="D10" s="34" t="s">
        <v>799</v>
      </c>
      <c r="E10" s="34" t="s">
        <v>38</v>
      </c>
      <c r="F10" s="34" t="s">
        <v>811</v>
      </c>
      <c r="G10" s="34" t="s">
        <v>831</v>
      </c>
      <c r="H10" s="34" t="s">
        <v>8</v>
      </c>
    </row>
    <row r="11" spans="1:8" ht="18.75" customHeight="1" x14ac:dyDescent="0.25">
      <c r="A11" s="34" t="s">
        <v>56</v>
      </c>
      <c r="B11" s="34" t="s">
        <v>57</v>
      </c>
      <c r="C11" s="34" t="s">
        <v>20</v>
      </c>
      <c r="D11" s="34" t="s">
        <v>23</v>
      </c>
      <c r="E11" s="34" t="s">
        <v>39</v>
      </c>
      <c r="F11" s="34" t="s">
        <v>812</v>
      </c>
      <c r="G11" s="34" t="s">
        <v>832</v>
      </c>
      <c r="H11" s="34" t="s">
        <v>9</v>
      </c>
    </row>
    <row r="12" spans="1:8" ht="18.75" customHeight="1" x14ac:dyDescent="0.25">
      <c r="A12" s="34" t="s">
        <v>56</v>
      </c>
      <c r="B12" s="34" t="s">
        <v>57</v>
      </c>
      <c r="C12" s="34" t="s">
        <v>24</v>
      </c>
      <c r="D12" s="34" t="s">
        <v>40</v>
      </c>
      <c r="E12" s="34" t="s">
        <v>25</v>
      </c>
      <c r="F12" s="34" t="s">
        <v>813</v>
      </c>
      <c r="G12" s="34" t="s">
        <v>833</v>
      </c>
      <c r="H12" s="34" t="s">
        <v>10</v>
      </c>
    </row>
    <row r="13" spans="1:8" ht="18.75" customHeight="1" x14ac:dyDescent="0.25">
      <c r="A13" s="34" t="s">
        <v>56</v>
      </c>
      <c r="B13" s="34" t="s">
        <v>57</v>
      </c>
      <c r="C13" s="34" t="s">
        <v>17</v>
      </c>
      <c r="D13" s="34" t="s">
        <v>33</v>
      </c>
      <c r="E13" s="34" t="s">
        <v>42</v>
      </c>
      <c r="F13" s="34" t="s">
        <v>814</v>
      </c>
      <c r="G13" s="34" t="s">
        <v>834</v>
      </c>
      <c r="H13" s="34" t="s">
        <v>796</v>
      </c>
    </row>
    <row r="14" spans="1:8" ht="18.75" customHeight="1" x14ac:dyDescent="0.25">
      <c r="A14" s="34" t="s">
        <v>56</v>
      </c>
      <c r="B14" s="34" t="s">
        <v>57</v>
      </c>
      <c r="C14" s="34" t="s">
        <v>20</v>
      </c>
      <c r="D14" s="34" t="s">
        <v>37</v>
      </c>
      <c r="E14" s="34" t="s">
        <v>42</v>
      </c>
      <c r="F14" s="34" t="s">
        <v>815</v>
      </c>
      <c r="G14" s="34" t="s">
        <v>835</v>
      </c>
      <c r="H14" s="34" t="s">
        <v>797</v>
      </c>
    </row>
    <row r="15" spans="1:8" ht="18.75" customHeight="1" x14ac:dyDescent="0.25">
      <c r="A15" s="34" t="s">
        <v>56</v>
      </c>
      <c r="B15" s="34" t="s">
        <v>57</v>
      </c>
      <c r="C15" s="34" t="s">
        <v>18</v>
      </c>
      <c r="D15" s="34" t="s">
        <v>21</v>
      </c>
      <c r="E15" s="34" t="s">
        <v>801</v>
      </c>
      <c r="F15" s="34" t="s">
        <v>816</v>
      </c>
      <c r="G15" s="34" t="s">
        <v>836</v>
      </c>
      <c r="H15" s="34" t="s">
        <v>803</v>
      </c>
    </row>
    <row r="16" spans="1:8" ht="18.75" customHeight="1" x14ac:dyDescent="0.25">
      <c r="A16" s="34" t="s">
        <v>56</v>
      </c>
      <c r="B16" s="34" t="s">
        <v>57</v>
      </c>
      <c r="C16" s="34" t="s">
        <v>17</v>
      </c>
      <c r="D16" s="34" t="s">
        <v>33</v>
      </c>
      <c r="E16" s="34" t="s">
        <v>26</v>
      </c>
      <c r="F16" s="34" t="s">
        <v>817</v>
      </c>
      <c r="G16" s="34" t="s">
        <v>837</v>
      </c>
      <c r="H16" s="34" t="s">
        <v>46</v>
      </c>
    </row>
    <row r="17" spans="1:8" ht="18.75" customHeight="1" x14ac:dyDescent="0.25">
      <c r="A17" s="34" t="s">
        <v>56</v>
      </c>
      <c r="B17" s="34" t="s">
        <v>57</v>
      </c>
      <c r="C17" s="34" t="s">
        <v>17</v>
      </c>
      <c r="D17" s="34" t="s">
        <v>33</v>
      </c>
      <c r="E17" s="34" t="s">
        <v>27</v>
      </c>
      <c r="F17" s="34" t="s">
        <v>818</v>
      </c>
      <c r="G17" s="34" t="s">
        <v>838</v>
      </c>
      <c r="H17" s="34" t="s">
        <v>11</v>
      </c>
    </row>
    <row r="18" spans="1:8" ht="18.75" customHeight="1" x14ac:dyDescent="0.25">
      <c r="A18" s="34" t="s">
        <v>56</v>
      </c>
      <c r="B18" s="34" t="s">
        <v>57</v>
      </c>
      <c r="C18" s="34" t="s">
        <v>28</v>
      </c>
      <c r="D18" s="34" t="s">
        <v>29</v>
      </c>
      <c r="E18" s="34" t="s">
        <v>47</v>
      </c>
      <c r="F18" s="34" t="s">
        <v>819</v>
      </c>
      <c r="G18" s="34" t="s">
        <v>839</v>
      </c>
      <c r="H18" s="34" t="s">
        <v>12</v>
      </c>
    </row>
    <row r="19" spans="1:8" ht="18.75" customHeight="1" x14ac:dyDescent="0.25">
      <c r="A19" s="34" t="s">
        <v>56</v>
      </c>
      <c r="B19" s="34" t="s">
        <v>57</v>
      </c>
      <c r="C19" s="34" t="s">
        <v>24</v>
      </c>
      <c r="D19" s="34" t="s">
        <v>30</v>
      </c>
      <c r="E19" s="34" t="s">
        <v>49</v>
      </c>
      <c r="F19" s="34" t="s">
        <v>820</v>
      </c>
      <c r="G19" s="34" t="s">
        <v>841</v>
      </c>
      <c r="H19" s="34" t="s">
        <v>48</v>
      </c>
    </row>
    <row r="20" spans="1:8" ht="18.75" customHeight="1" x14ac:dyDescent="0.25">
      <c r="A20" s="34" t="s">
        <v>56</v>
      </c>
      <c r="B20" s="34" t="s">
        <v>57</v>
      </c>
      <c r="C20" s="34" t="s">
        <v>24</v>
      </c>
      <c r="D20" s="34" t="s">
        <v>33</v>
      </c>
      <c r="E20" s="34" t="s">
        <v>51</v>
      </c>
      <c r="F20" s="34" t="s">
        <v>821</v>
      </c>
      <c r="G20" s="34" t="s">
        <v>840</v>
      </c>
      <c r="H20" s="34" t="s">
        <v>50</v>
      </c>
    </row>
    <row r="21" spans="1:8" ht="18.75" customHeight="1" x14ac:dyDescent="0.25">
      <c r="A21" s="34" t="s">
        <v>56</v>
      </c>
      <c r="B21" s="34" t="s">
        <v>57</v>
      </c>
      <c r="C21" s="34" t="s">
        <v>17</v>
      </c>
      <c r="D21" s="34" t="s">
        <v>17</v>
      </c>
      <c r="E21" s="34" t="s">
        <v>802</v>
      </c>
      <c r="F21" s="34" t="s">
        <v>822</v>
      </c>
      <c r="G21" s="34" t="s">
        <v>842</v>
      </c>
      <c r="H21" s="34" t="s">
        <v>798</v>
      </c>
    </row>
    <row r="22" spans="1:8" ht="18.75" customHeight="1" x14ac:dyDescent="0.25">
      <c r="A22" s="34" t="s">
        <v>56</v>
      </c>
      <c r="B22" s="34" t="s">
        <v>57</v>
      </c>
      <c r="C22" s="34" t="s">
        <v>20</v>
      </c>
      <c r="D22" s="34" t="s">
        <v>52</v>
      </c>
      <c r="E22" s="34" t="s">
        <v>34</v>
      </c>
      <c r="F22" s="34" t="s">
        <v>823</v>
      </c>
      <c r="G22" s="34" t="s">
        <v>843</v>
      </c>
      <c r="H22" s="34" t="s">
        <v>13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0B88-91C3-4953-AEA5-16B3120E621F}">
  <dimension ref="A2:Q83"/>
  <sheetViews>
    <sheetView tabSelected="1" topLeftCell="A45" workbookViewId="0">
      <selection activeCell="G68" sqref="G68"/>
    </sheetView>
  </sheetViews>
  <sheetFormatPr baseColWidth="10" defaultRowHeight="15" x14ac:dyDescent="0.25"/>
  <cols>
    <col min="1" max="1" width="9.7109375" customWidth="1"/>
    <col min="2" max="2" width="18.5703125" bestFit="1" customWidth="1"/>
    <col min="5" max="5" width="24" customWidth="1"/>
    <col min="6" max="6" width="16.7109375" bestFit="1" customWidth="1"/>
    <col min="12" max="12" width="20.28515625" bestFit="1" customWidth="1"/>
    <col min="13" max="13" width="18.5703125" bestFit="1" customWidth="1"/>
    <col min="14" max="14" width="19" bestFit="1" customWidth="1"/>
    <col min="15" max="15" width="33" customWidth="1"/>
    <col min="17" max="17" width="16.28515625" bestFit="1" customWidth="1"/>
  </cols>
  <sheetData>
    <row r="2" spans="2:17" x14ac:dyDescent="0.25">
      <c r="B2" s="34" t="s">
        <v>737</v>
      </c>
      <c r="C2" t="s">
        <v>738</v>
      </c>
      <c r="D2" t="s">
        <v>739</v>
      </c>
      <c r="E2" t="s">
        <v>778</v>
      </c>
      <c r="F2" t="s">
        <v>740</v>
      </c>
      <c r="G2">
        <v>1</v>
      </c>
      <c r="K2" s="38" t="s">
        <v>739</v>
      </c>
      <c r="L2" s="38" t="s">
        <v>778</v>
      </c>
      <c r="M2" s="37" t="s">
        <v>740</v>
      </c>
      <c r="N2" s="34" t="s">
        <v>34</v>
      </c>
    </row>
    <row r="3" spans="2:17" x14ac:dyDescent="0.25">
      <c r="B3" s="34" t="s">
        <v>737</v>
      </c>
      <c r="C3" t="s">
        <v>738</v>
      </c>
      <c r="D3" t="s">
        <v>739</v>
      </c>
      <c r="E3" t="s">
        <v>778</v>
      </c>
      <c r="F3" t="s">
        <v>740</v>
      </c>
      <c r="G3">
        <v>2</v>
      </c>
      <c r="K3" s="38" t="s">
        <v>739</v>
      </c>
      <c r="L3" s="38" t="s">
        <v>778</v>
      </c>
      <c r="M3" s="37" t="s">
        <v>740</v>
      </c>
      <c r="N3" s="34" t="s">
        <v>34</v>
      </c>
    </row>
    <row r="4" spans="2:17" x14ac:dyDescent="0.25">
      <c r="B4" s="34" t="s">
        <v>737</v>
      </c>
      <c r="C4" t="s">
        <v>738</v>
      </c>
      <c r="D4" t="s">
        <v>739</v>
      </c>
      <c r="E4" t="s">
        <v>779</v>
      </c>
      <c r="F4" t="s">
        <v>741</v>
      </c>
      <c r="G4">
        <v>3</v>
      </c>
      <c r="K4" s="38" t="s">
        <v>739</v>
      </c>
      <c r="L4" s="38" t="s">
        <v>739</v>
      </c>
      <c r="M4" t="s">
        <v>741</v>
      </c>
      <c r="N4" s="34" t="s">
        <v>35</v>
      </c>
    </row>
    <row r="5" spans="2:17" x14ac:dyDescent="0.25">
      <c r="B5" s="34" t="s">
        <v>737</v>
      </c>
      <c r="C5" t="s">
        <v>738</v>
      </c>
      <c r="D5" t="s">
        <v>742</v>
      </c>
      <c r="E5" t="s">
        <v>743</v>
      </c>
      <c r="F5" t="s">
        <v>780</v>
      </c>
      <c r="G5">
        <v>4</v>
      </c>
      <c r="K5" s="38" t="s">
        <v>742</v>
      </c>
      <c r="L5" s="38" t="s">
        <v>743</v>
      </c>
      <c r="M5" t="s">
        <v>780</v>
      </c>
      <c r="N5" s="34" t="s">
        <v>19</v>
      </c>
    </row>
    <row r="6" spans="2:17" x14ac:dyDescent="0.25">
      <c r="B6" s="34" t="s">
        <v>737</v>
      </c>
      <c r="C6" t="s">
        <v>738</v>
      </c>
      <c r="D6" t="s">
        <v>742</v>
      </c>
      <c r="E6" t="s">
        <v>743</v>
      </c>
      <c r="F6" t="s">
        <v>780</v>
      </c>
      <c r="G6">
        <v>5</v>
      </c>
      <c r="K6" s="38" t="s">
        <v>742</v>
      </c>
      <c r="L6" s="38" t="s">
        <v>743</v>
      </c>
      <c r="M6" t="s">
        <v>780</v>
      </c>
      <c r="N6" s="34" t="s">
        <v>19</v>
      </c>
      <c r="P6" t="str" cm="1">
        <f t="array" ref="P6:P20">_xlfn.UNIQUE(M2:M21)</f>
        <v>BOM</v>
      </c>
      <c r="Q6" t="str" cm="1">
        <f t="array" ref="Q6:Q20">_xlfn.UNIQUE(N2:N21)</f>
        <v>Bombeo</v>
      </c>
    </row>
    <row r="7" spans="2:17" x14ac:dyDescent="0.25">
      <c r="B7" s="34" t="s">
        <v>737</v>
      </c>
      <c r="C7" t="s">
        <v>738</v>
      </c>
      <c r="D7" t="s">
        <v>744</v>
      </c>
      <c r="E7" t="s">
        <v>745</v>
      </c>
      <c r="F7" t="s">
        <v>781</v>
      </c>
      <c r="G7">
        <v>6</v>
      </c>
      <c r="K7" s="38" t="s">
        <v>744</v>
      </c>
      <c r="L7" s="38" t="s">
        <v>745</v>
      </c>
      <c r="M7" t="s">
        <v>781</v>
      </c>
      <c r="N7" s="34" t="s">
        <v>800</v>
      </c>
      <c r="P7" t="str">
        <v>RED</v>
      </c>
      <c r="Q7" t="str">
        <v>Reducción</v>
      </c>
    </row>
    <row r="8" spans="2:17" x14ac:dyDescent="0.25">
      <c r="B8" s="34" t="s">
        <v>737</v>
      </c>
      <c r="C8" t="s">
        <v>738</v>
      </c>
      <c r="D8" t="s">
        <v>742</v>
      </c>
      <c r="E8" t="s">
        <v>746</v>
      </c>
      <c r="F8" t="s">
        <v>741</v>
      </c>
      <c r="G8">
        <v>7</v>
      </c>
      <c r="K8" s="38" t="s">
        <v>742</v>
      </c>
      <c r="L8" s="38" t="s">
        <v>746</v>
      </c>
      <c r="M8" t="s">
        <v>741</v>
      </c>
      <c r="N8" s="34" t="s">
        <v>35</v>
      </c>
      <c r="P8" t="str">
        <v>COR</v>
      </c>
      <c r="Q8" t="str">
        <v>Correas</v>
      </c>
    </row>
    <row r="9" spans="2:17" x14ac:dyDescent="0.25">
      <c r="B9" s="34" t="s">
        <v>737</v>
      </c>
      <c r="C9" t="s">
        <v>738</v>
      </c>
      <c r="D9" t="s">
        <v>742</v>
      </c>
      <c r="E9" t="s">
        <v>747</v>
      </c>
      <c r="F9" t="s">
        <v>782</v>
      </c>
      <c r="G9">
        <v>8</v>
      </c>
      <c r="K9" s="38" t="s">
        <v>742</v>
      </c>
      <c r="L9" s="38" t="s">
        <v>747</v>
      </c>
      <c r="M9" t="s">
        <v>782</v>
      </c>
      <c r="N9" s="34" t="s">
        <v>38</v>
      </c>
      <c r="P9" t="str">
        <v>COM</v>
      </c>
      <c r="Q9" t="str">
        <v>Generacion</v>
      </c>
    </row>
    <row r="10" spans="2:17" x14ac:dyDescent="0.25">
      <c r="B10" s="34" t="s">
        <v>737</v>
      </c>
      <c r="C10" t="s">
        <v>738</v>
      </c>
      <c r="D10" t="s">
        <v>744</v>
      </c>
      <c r="E10" t="s">
        <v>748</v>
      </c>
      <c r="F10" t="s">
        <v>783</v>
      </c>
      <c r="G10">
        <v>9</v>
      </c>
      <c r="K10" s="38" t="s">
        <v>744</v>
      </c>
      <c r="L10" s="38" t="s">
        <v>748</v>
      </c>
      <c r="M10" t="s">
        <v>783</v>
      </c>
      <c r="N10" s="34" t="s">
        <v>39</v>
      </c>
      <c r="P10" t="str">
        <v>HAR</v>
      </c>
      <c r="Q10" t="str">
        <v>Harneros</v>
      </c>
    </row>
    <row r="11" spans="2:17" x14ac:dyDescent="0.25">
      <c r="B11" s="34" t="s">
        <v>737</v>
      </c>
      <c r="C11" t="s">
        <v>738</v>
      </c>
      <c r="D11" t="s">
        <v>749</v>
      </c>
      <c r="E11" t="s">
        <v>784</v>
      </c>
      <c r="F11" t="s">
        <v>785</v>
      </c>
      <c r="G11">
        <v>10</v>
      </c>
      <c r="K11" s="38" t="s">
        <v>749</v>
      </c>
      <c r="L11" s="38" t="s">
        <v>784</v>
      </c>
      <c r="M11" t="s">
        <v>785</v>
      </c>
      <c r="N11" s="34" t="s">
        <v>25</v>
      </c>
      <c r="P11" t="str">
        <v>EXT</v>
      </c>
      <c r="Q11" t="str">
        <v>Extracción</v>
      </c>
    </row>
    <row r="12" spans="2:17" x14ac:dyDescent="0.25">
      <c r="B12" s="34" t="s">
        <v>737</v>
      </c>
      <c r="C12" t="s">
        <v>738</v>
      </c>
      <c r="D12" t="s">
        <v>739</v>
      </c>
      <c r="E12" t="s">
        <v>786</v>
      </c>
      <c r="F12" t="s">
        <v>787</v>
      </c>
      <c r="G12">
        <v>11</v>
      </c>
      <c r="K12" s="38" t="s">
        <v>739</v>
      </c>
      <c r="L12" s="38" t="s">
        <v>778</v>
      </c>
      <c r="M12" s="37" t="s">
        <v>787</v>
      </c>
      <c r="N12" s="34" t="s">
        <v>42</v>
      </c>
      <c r="P12" t="str">
        <v>GEN</v>
      </c>
      <c r="Q12" t="str">
        <v>Generación</v>
      </c>
    </row>
    <row r="13" spans="2:17" x14ac:dyDescent="0.25">
      <c r="B13" s="34" t="s">
        <v>737</v>
      </c>
      <c r="C13" t="s">
        <v>738</v>
      </c>
      <c r="D13" t="s">
        <v>744</v>
      </c>
      <c r="E13" t="s">
        <v>745</v>
      </c>
      <c r="F13" t="s">
        <v>787</v>
      </c>
      <c r="G13">
        <v>12</v>
      </c>
      <c r="K13" s="38" t="s">
        <v>744</v>
      </c>
      <c r="L13" s="38" t="s">
        <v>745</v>
      </c>
      <c r="M13" t="s">
        <v>787</v>
      </c>
      <c r="N13" s="34" t="s">
        <v>42</v>
      </c>
      <c r="P13" t="str">
        <v>ACC</v>
      </c>
      <c r="Q13" t="str">
        <v>Accionamiento</v>
      </c>
    </row>
    <row r="14" spans="2:17" x14ac:dyDescent="0.25">
      <c r="B14" s="34" t="s">
        <v>737</v>
      </c>
      <c r="C14" t="s">
        <v>738</v>
      </c>
      <c r="D14" t="s">
        <v>742</v>
      </c>
      <c r="E14" t="s">
        <v>746</v>
      </c>
      <c r="F14" t="s">
        <v>788</v>
      </c>
      <c r="G14">
        <v>13</v>
      </c>
      <c r="K14" s="38" t="s">
        <v>742</v>
      </c>
      <c r="L14" s="38" t="s">
        <v>746</v>
      </c>
      <c r="M14" t="s">
        <v>788</v>
      </c>
      <c r="N14" s="34" t="s">
        <v>801</v>
      </c>
      <c r="P14" t="str">
        <v>OLEO</v>
      </c>
      <c r="Q14" t="str">
        <v>Oleohidraulica</v>
      </c>
    </row>
    <row r="15" spans="2:17" x14ac:dyDescent="0.25">
      <c r="B15" s="34" t="s">
        <v>737</v>
      </c>
      <c r="C15" t="s">
        <v>738</v>
      </c>
      <c r="D15" t="s">
        <v>739</v>
      </c>
      <c r="E15" t="s">
        <v>789</v>
      </c>
      <c r="F15" t="s">
        <v>790</v>
      </c>
      <c r="G15">
        <v>14</v>
      </c>
      <c r="K15" s="38" t="s">
        <v>739</v>
      </c>
      <c r="L15" s="38" t="s">
        <v>778</v>
      </c>
      <c r="M15" s="37" t="s">
        <v>790</v>
      </c>
      <c r="N15" s="34" t="s">
        <v>26</v>
      </c>
      <c r="P15" t="str">
        <v>ALM</v>
      </c>
      <c r="Q15" t="str">
        <v>Almacenamiento</v>
      </c>
    </row>
    <row r="16" spans="2:17" x14ac:dyDescent="0.25">
      <c r="B16" s="34" t="s">
        <v>737</v>
      </c>
      <c r="C16" t="s">
        <v>738</v>
      </c>
      <c r="D16" t="s">
        <v>739</v>
      </c>
      <c r="E16" t="s">
        <v>789</v>
      </c>
      <c r="F16" t="s">
        <v>791</v>
      </c>
      <c r="G16">
        <v>15</v>
      </c>
      <c r="K16" s="38" t="s">
        <v>739</v>
      </c>
      <c r="L16" s="38" t="s">
        <v>778</v>
      </c>
      <c r="M16" s="37" t="s">
        <v>791</v>
      </c>
      <c r="N16" s="34" t="s">
        <v>27</v>
      </c>
      <c r="P16" t="str">
        <v>AGI</v>
      </c>
      <c r="Q16" t="str">
        <v>Agitación</v>
      </c>
    </row>
    <row r="17" spans="2:17" x14ac:dyDescent="0.25">
      <c r="B17" s="34" t="s">
        <v>737</v>
      </c>
      <c r="C17" t="s">
        <v>738</v>
      </c>
      <c r="D17" t="s">
        <v>750</v>
      </c>
      <c r="E17" t="s">
        <v>751</v>
      </c>
      <c r="F17" t="s">
        <v>792</v>
      </c>
      <c r="G17">
        <v>16</v>
      </c>
      <c r="K17" s="38" t="s">
        <v>750</v>
      </c>
      <c r="L17" s="38" t="s">
        <v>751</v>
      </c>
      <c r="M17" t="s">
        <v>792</v>
      </c>
      <c r="N17" s="34" t="s">
        <v>47</v>
      </c>
      <c r="P17" t="str">
        <v>ALI</v>
      </c>
      <c r="Q17" t="str">
        <v>Alimentación</v>
      </c>
    </row>
    <row r="18" spans="2:17" x14ac:dyDescent="0.25">
      <c r="B18" s="34" t="s">
        <v>737</v>
      </c>
      <c r="C18" t="s">
        <v>738</v>
      </c>
      <c r="D18" t="s">
        <v>749</v>
      </c>
      <c r="E18" t="s">
        <v>752</v>
      </c>
      <c r="F18" t="s">
        <v>793</v>
      </c>
      <c r="G18">
        <v>17</v>
      </c>
      <c r="K18" s="38" t="s">
        <v>749</v>
      </c>
      <c r="L18" s="38" t="s">
        <v>752</v>
      </c>
      <c r="M18" t="s">
        <v>793</v>
      </c>
      <c r="N18" s="34" t="s">
        <v>49</v>
      </c>
      <c r="P18" t="str">
        <v>FUE</v>
      </c>
      <c r="Q18" t="str">
        <v>Fuerza</v>
      </c>
    </row>
    <row r="19" spans="2:17" x14ac:dyDescent="0.25">
      <c r="B19" s="34" t="s">
        <v>737</v>
      </c>
      <c r="C19" t="s">
        <v>738</v>
      </c>
      <c r="D19" t="s">
        <v>749</v>
      </c>
      <c r="E19" t="s">
        <v>789</v>
      </c>
      <c r="F19" t="s">
        <v>794</v>
      </c>
      <c r="G19">
        <v>18</v>
      </c>
      <c r="K19" s="38" t="s">
        <v>749</v>
      </c>
      <c r="L19" s="38" t="s">
        <v>778</v>
      </c>
      <c r="M19" s="37" t="s">
        <v>794</v>
      </c>
      <c r="N19" s="34" t="s">
        <v>51</v>
      </c>
      <c r="P19" t="str">
        <v>CONT</v>
      </c>
      <c r="Q19" t="str">
        <v>Control Eléctrico</v>
      </c>
    </row>
    <row r="20" spans="2:17" x14ac:dyDescent="0.25">
      <c r="B20" s="34" t="s">
        <v>737</v>
      </c>
      <c r="C20" t="s">
        <v>738</v>
      </c>
      <c r="D20" t="s">
        <v>739</v>
      </c>
      <c r="E20" t="s">
        <v>739</v>
      </c>
      <c r="F20" t="s">
        <v>753</v>
      </c>
      <c r="G20">
        <v>19</v>
      </c>
      <c r="K20" s="38" t="s">
        <v>739</v>
      </c>
      <c r="L20" s="38" t="s">
        <v>739</v>
      </c>
      <c r="M20" t="s">
        <v>753</v>
      </c>
      <c r="N20" s="34" t="s">
        <v>802</v>
      </c>
      <c r="P20" t="str">
        <v>LUB</v>
      </c>
      <c r="Q20" t="str">
        <v>Lubricacion</v>
      </c>
    </row>
    <row r="21" spans="2:17" x14ac:dyDescent="0.25">
      <c r="B21" s="34" t="s">
        <v>737</v>
      </c>
      <c r="C21" t="s">
        <v>738</v>
      </c>
      <c r="D21" t="s">
        <v>744</v>
      </c>
      <c r="E21" t="s">
        <v>795</v>
      </c>
      <c r="F21" t="s">
        <v>740</v>
      </c>
      <c r="G21">
        <v>20</v>
      </c>
      <c r="K21" s="38" t="s">
        <v>744</v>
      </c>
      <c r="L21" s="38" t="s">
        <v>795</v>
      </c>
      <c r="M21" t="s">
        <v>740</v>
      </c>
      <c r="N21" s="34" t="s">
        <v>34</v>
      </c>
    </row>
    <row r="22" spans="2:17" x14ac:dyDescent="0.25">
      <c r="O22" s="13"/>
    </row>
    <row r="23" spans="2:17" x14ac:dyDescent="0.25">
      <c r="O23" s="13"/>
    </row>
    <row r="24" spans="2:17" x14ac:dyDescent="0.25">
      <c r="O24" s="13"/>
    </row>
    <row r="25" spans="2:17" x14ac:dyDescent="0.25">
      <c r="D25" s="34" t="s">
        <v>17</v>
      </c>
      <c r="E25" s="34" t="s">
        <v>33</v>
      </c>
      <c r="F25" s="34" t="s">
        <v>34</v>
      </c>
      <c r="K25" s="36" t="str" cm="1">
        <f t="array" ref="K25:K29">_xlfn.UNIQUE(K2:K21)</f>
        <v>MOL</v>
      </c>
      <c r="L25" s="36" t="str" cm="1">
        <f t="array" ref="L25:L35">_xlfn.UNIQUE(L2:L21)</f>
        <v>PULP</v>
      </c>
      <c r="M25" s="36" t="str" cm="1">
        <f t="array" ref="M25:M39">_xlfn.UNIQUE(N2:N21)</f>
        <v>Bombeo</v>
      </c>
      <c r="O25" s="13"/>
    </row>
    <row r="26" spans="2:17" x14ac:dyDescent="0.25">
      <c r="D26" s="34" t="s">
        <v>17</v>
      </c>
      <c r="E26" s="34" t="s">
        <v>33</v>
      </c>
      <c r="F26" s="34" t="s">
        <v>34</v>
      </c>
      <c r="K26" s="36" t="str">
        <v>CHA</v>
      </c>
      <c r="L26" s="36" t="str">
        <v>MOL</v>
      </c>
      <c r="M26" t="str">
        <v>Reducción</v>
      </c>
      <c r="O26" s="13"/>
    </row>
    <row r="27" spans="2:17" x14ac:dyDescent="0.25">
      <c r="D27" s="34" t="s">
        <v>17</v>
      </c>
      <c r="E27" s="34" t="s">
        <v>17</v>
      </c>
      <c r="F27" s="34" t="s">
        <v>35</v>
      </c>
      <c r="K27" s="36" t="str">
        <v>SER</v>
      </c>
      <c r="L27" s="36" t="str">
        <v>TRA</v>
      </c>
      <c r="M27" t="str">
        <v>Correas</v>
      </c>
      <c r="O27" s="13"/>
    </row>
    <row r="28" spans="2:17" x14ac:dyDescent="0.25">
      <c r="D28" s="34" t="s">
        <v>18</v>
      </c>
      <c r="E28" s="34" t="s">
        <v>36</v>
      </c>
      <c r="F28" s="34" t="s">
        <v>19</v>
      </c>
      <c r="K28" s="36" t="str">
        <v>ENE</v>
      </c>
      <c r="L28" s="36" t="str">
        <v>AIR</v>
      </c>
      <c r="M28" t="str">
        <v>Generacion</v>
      </c>
      <c r="N28" t="str" cm="1">
        <f t="array" ref="N28:N38">_xlfn.UNIQUE(_xlfn.ANCHORARRAY(L25))</f>
        <v>PULP</v>
      </c>
      <c r="O28" t="str" cm="1">
        <f t="array" ref="O28:O38">_xlfn.UNIQUE(E25:E44)</f>
        <v>Manejo de Pulpas</v>
      </c>
    </row>
    <row r="29" spans="2:17" x14ac:dyDescent="0.25">
      <c r="D29" s="34" t="s">
        <v>18</v>
      </c>
      <c r="E29" s="34" t="s">
        <v>36</v>
      </c>
      <c r="F29" s="34" t="s">
        <v>19</v>
      </c>
      <c r="K29" s="36" t="str">
        <v>PRO</v>
      </c>
      <c r="L29" s="36" t="str">
        <v>TRI</v>
      </c>
      <c r="M29" t="str">
        <v>Harneros</v>
      </c>
      <c r="N29" t="str">
        <v>MOL</v>
      </c>
      <c r="O29" t="str">
        <v>Molienda</v>
      </c>
    </row>
    <row r="30" spans="2:17" ht="16.5" customHeight="1" x14ac:dyDescent="0.25">
      <c r="D30" s="34" t="s">
        <v>20</v>
      </c>
      <c r="E30" s="34" t="s">
        <v>37</v>
      </c>
      <c r="F30" s="34" t="s">
        <v>800</v>
      </c>
      <c r="K30" s="36"/>
      <c r="L30" s="36" t="str">
        <v>CLA</v>
      </c>
      <c r="M30" t="str">
        <v>Extracción</v>
      </c>
      <c r="N30" t="str">
        <v>TRA</v>
      </c>
      <c r="O30" t="str">
        <v>Transporte Material</v>
      </c>
    </row>
    <row r="31" spans="2:17" x14ac:dyDescent="0.25">
      <c r="D31" s="34" t="s">
        <v>18</v>
      </c>
      <c r="E31" s="34" t="s">
        <v>21</v>
      </c>
      <c r="F31" s="34" t="s">
        <v>35</v>
      </c>
      <c r="K31" s="36"/>
      <c r="L31" s="36" t="str">
        <v>VEN</v>
      </c>
      <c r="M31" t="str">
        <v>Generación</v>
      </c>
      <c r="N31" t="str">
        <v>AIR</v>
      </c>
      <c r="O31" t="str">
        <v>Aire Comprimido</v>
      </c>
    </row>
    <row r="32" spans="2:17" x14ac:dyDescent="0.25">
      <c r="D32" s="34" t="s">
        <v>18</v>
      </c>
      <c r="E32" s="34" t="s">
        <v>799</v>
      </c>
      <c r="F32" s="34" t="s">
        <v>38</v>
      </c>
      <c r="K32" s="31"/>
      <c r="L32" s="31" t="str">
        <v>ELE</v>
      </c>
      <c r="M32" t="str">
        <v>Accionamiento</v>
      </c>
      <c r="N32" t="str">
        <v>TRI</v>
      </c>
      <c r="O32" t="str">
        <v>Trituración</v>
      </c>
    </row>
    <row r="33" spans="1:15" x14ac:dyDescent="0.25">
      <c r="D33" s="34" t="s">
        <v>20</v>
      </c>
      <c r="E33" s="34" t="s">
        <v>23</v>
      </c>
      <c r="F33" s="34" t="s">
        <v>39</v>
      </c>
      <c r="K33" s="31"/>
      <c r="L33" s="31" t="str">
        <v>DOS</v>
      </c>
      <c r="M33" t="str">
        <v>Oleohidraulica</v>
      </c>
      <c r="N33" t="str">
        <v>CLA</v>
      </c>
      <c r="O33" t="str">
        <v>Clasificacion</v>
      </c>
    </row>
    <row r="34" spans="1:15" x14ac:dyDescent="0.25">
      <c r="D34" s="34" t="s">
        <v>24</v>
      </c>
      <c r="E34" s="34" t="s">
        <v>40</v>
      </c>
      <c r="F34" s="34" t="s">
        <v>25</v>
      </c>
      <c r="K34" s="31"/>
      <c r="L34" s="31" t="str">
        <v>DIS</v>
      </c>
      <c r="M34" t="str">
        <v>Almacenamiento</v>
      </c>
      <c r="N34" t="str">
        <v>VEN</v>
      </c>
      <c r="O34" t="str">
        <v>Ventilación</v>
      </c>
    </row>
    <row r="35" spans="1:15" x14ac:dyDescent="0.25">
      <c r="D35" s="34" t="s">
        <v>17</v>
      </c>
      <c r="E35" s="34" t="s">
        <v>33</v>
      </c>
      <c r="F35" s="34" t="s">
        <v>42</v>
      </c>
      <c r="K35" s="36"/>
      <c r="L35" s="36" t="str">
        <v>AGU</v>
      </c>
      <c r="M35" t="str">
        <v>Agitación</v>
      </c>
      <c r="N35" t="str">
        <v>ELE</v>
      </c>
      <c r="O35" t="str">
        <v>Respaldo Eléctrico</v>
      </c>
    </row>
    <row r="36" spans="1:15" x14ac:dyDescent="0.25">
      <c r="D36" s="34" t="s">
        <v>20</v>
      </c>
      <c r="E36" s="34" t="s">
        <v>37</v>
      </c>
      <c r="F36" s="34" t="s">
        <v>42</v>
      </c>
      <c r="M36" t="str">
        <v>Alimentación</v>
      </c>
      <c r="N36" t="str">
        <v>DOS</v>
      </c>
      <c r="O36" t="str">
        <v>Dosificación</v>
      </c>
    </row>
    <row r="37" spans="1:15" x14ac:dyDescent="0.25">
      <c r="D37" s="34" t="s">
        <v>18</v>
      </c>
      <c r="E37" s="34" t="s">
        <v>21</v>
      </c>
      <c r="F37" s="34" t="s">
        <v>801</v>
      </c>
      <c r="M37" t="str">
        <v>Fuerza</v>
      </c>
      <c r="N37" t="str">
        <v>DIS</v>
      </c>
      <c r="O37" t="str">
        <v>Distribución</v>
      </c>
    </row>
    <row r="38" spans="1:15" x14ac:dyDescent="0.25">
      <c r="D38" s="34" t="s">
        <v>17</v>
      </c>
      <c r="E38" s="34" t="s">
        <v>33</v>
      </c>
      <c r="F38" s="34" t="s">
        <v>26</v>
      </c>
      <c r="M38" t="str">
        <v>Control Eléctrico</v>
      </c>
      <c r="N38" t="str">
        <v>AGU</v>
      </c>
      <c r="O38" t="str">
        <v>Suministro Agua</v>
      </c>
    </row>
    <row r="39" spans="1:15" x14ac:dyDescent="0.25">
      <c r="D39" s="34" t="s">
        <v>17</v>
      </c>
      <c r="E39" s="34" t="s">
        <v>33</v>
      </c>
      <c r="F39" s="34" t="s">
        <v>27</v>
      </c>
      <c r="M39" t="str">
        <v>Lubricacion</v>
      </c>
    </row>
    <row r="40" spans="1:15" x14ac:dyDescent="0.25">
      <c r="D40" s="34" t="s">
        <v>28</v>
      </c>
      <c r="E40" s="34" t="s">
        <v>29</v>
      </c>
      <c r="F40" s="34" t="s">
        <v>47</v>
      </c>
      <c r="K40" t="str" cm="1">
        <f t="array" ref="K40:K45">_xlfn.UNIQUE(K25:K35)</f>
        <v>MOL</v>
      </c>
      <c r="L40" t="str" cm="1">
        <f t="array" ref="L40:L44">_xlfn.UNIQUE(D25:D44)</f>
        <v>Molienda</v>
      </c>
    </row>
    <row r="41" spans="1:15" x14ac:dyDescent="0.25">
      <c r="D41" s="34" t="s">
        <v>24</v>
      </c>
      <c r="E41" s="34" t="s">
        <v>30</v>
      </c>
      <c r="F41" s="34" t="s">
        <v>49</v>
      </c>
      <c r="K41" t="str">
        <v>CHA</v>
      </c>
      <c r="L41" t="str">
        <v>Chancado</v>
      </c>
    </row>
    <row r="42" spans="1:15" x14ac:dyDescent="0.25">
      <c r="D42" s="34" t="s">
        <v>24</v>
      </c>
      <c r="E42" s="34" t="s">
        <v>33</v>
      </c>
      <c r="F42" s="34" t="s">
        <v>51</v>
      </c>
      <c r="K42" t="str">
        <v>SER</v>
      </c>
      <c r="L42" t="str">
        <v>Servicios</v>
      </c>
    </row>
    <row r="43" spans="1:15" x14ac:dyDescent="0.25">
      <c r="D43" s="34" t="s">
        <v>17</v>
      </c>
      <c r="E43" s="34" t="s">
        <v>17</v>
      </c>
      <c r="F43" s="34" t="s">
        <v>802</v>
      </c>
      <c r="K43" t="str">
        <v>ENE</v>
      </c>
      <c r="L43" t="str">
        <v>Energía</v>
      </c>
    </row>
    <row r="44" spans="1:15" x14ac:dyDescent="0.25">
      <c r="D44" s="34" t="s">
        <v>20</v>
      </c>
      <c r="E44" s="34" t="s">
        <v>52</v>
      </c>
      <c r="F44" s="34" t="s">
        <v>34</v>
      </c>
      <c r="K44" t="str">
        <v>PRO</v>
      </c>
      <c r="L44" t="str">
        <v>Procesos</v>
      </c>
    </row>
    <row r="45" spans="1:15" x14ac:dyDescent="0.25">
      <c r="K45">
        <v>0</v>
      </c>
    </row>
    <row r="47" spans="1:15" x14ac:dyDescent="0.25">
      <c r="A47" s="43" t="s">
        <v>849</v>
      </c>
      <c r="B47" s="43"/>
    </row>
    <row r="48" spans="1:15" x14ac:dyDescent="0.25">
      <c r="A48" t="s">
        <v>739</v>
      </c>
      <c r="B48" t="s">
        <v>17</v>
      </c>
    </row>
    <row r="49" spans="1:2" x14ac:dyDescent="0.25">
      <c r="A49" t="s">
        <v>742</v>
      </c>
      <c r="B49" t="s">
        <v>18</v>
      </c>
    </row>
    <row r="50" spans="1:2" x14ac:dyDescent="0.25">
      <c r="A50" t="s">
        <v>744</v>
      </c>
      <c r="B50" t="s">
        <v>20</v>
      </c>
    </row>
    <row r="51" spans="1:2" x14ac:dyDescent="0.25">
      <c r="A51" t="s">
        <v>749</v>
      </c>
      <c r="B51" t="s">
        <v>24</v>
      </c>
    </row>
    <row r="52" spans="1:2" x14ac:dyDescent="0.25">
      <c r="A52" t="s">
        <v>750</v>
      </c>
      <c r="B52" t="s">
        <v>28</v>
      </c>
    </row>
    <row r="55" spans="1:2" x14ac:dyDescent="0.25">
      <c r="A55" s="43" t="s">
        <v>15</v>
      </c>
      <c r="B55" s="43"/>
    </row>
    <row r="56" spans="1:2" x14ac:dyDescent="0.25">
      <c r="A56" t="s">
        <v>778</v>
      </c>
      <c r="B56" t="s">
        <v>33</v>
      </c>
    </row>
    <row r="57" spans="1:2" x14ac:dyDescent="0.25">
      <c r="A57" t="s">
        <v>739</v>
      </c>
      <c r="B57" t="s">
        <v>17</v>
      </c>
    </row>
    <row r="58" spans="1:2" x14ac:dyDescent="0.25">
      <c r="A58" t="s">
        <v>743</v>
      </c>
      <c r="B58" t="s">
        <v>36</v>
      </c>
    </row>
    <row r="59" spans="1:2" x14ac:dyDescent="0.25">
      <c r="A59" t="s">
        <v>745</v>
      </c>
      <c r="B59" t="s">
        <v>37</v>
      </c>
    </row>
    <row r="60" spans="1:2" x14ac:dyDescent="0.25">
      <c r="A60" t="s">
        <v>746</v>
      </c>
      <c r="B60" t="s">
        <v>21</v>
      </c>
    </row>
    <row r="61" spans="1:2" x14ac:dyDescent="0.25">
      <c r="A61" t="s">
        <v>747</v>
      </c>
      <c r="B61" t="s">
        <v>799</v>
      </c>
    </row>
    <row r="62" spans="1:2" x14ac:dyDescent="0.25">
      <c r="A62" t="s">
        <v>748</v>
      </c>
      <c r="B62" t="s">
        <v>23</v>
      </c>
    </row>
    <row r="63" spans="1:2" x14ac:dyDescent="0.25">
      <c r="A63" t="s">
        <v>784</v>
      </c>
      <c r="B63" t="s">
        <v>40</v>
      </c>
    </row>
    <row r="64" spans="1:2" x14ac:dyDescent="0.25">
      <c r="A64" t="s">
        <v>751</v>
      </c>
      <c r="B64" t="s">
        <v>29</v>
      </c>
    </row>
    <row r="65" spans="1:2" x14ac:dyDescent="0.25">
      <c r="A65" t="s">
        <v>752</v>
      </c>
      <c r="B65" t="s">
        <v>30</v>
      </c>
    </row>
    <row r="66" spans="1:2" x14ac:dyDescent="0.25">
      <c r="A66" t="s">
        <v>795</v>
      </c>
      <c r="B66" t="s">
        <v>52</v>
      </c>
    </row>
    <row r="68" spans="1:2" x14ac:dyDescent="0.25">
      <c r="A68" s="43" t="s">
        <v>850</v>
      </c>
      <c r="B68" s="43"/>
    </row>
    <row r="69" spans="1:2" x14ac:dyDescent="0.25">
      <c r="A69" t="s">
        <v>740</v>
      </c>
      <c r="B69" t="s">
        <v>34</v>
      </c>
    </row>
    <row r="70" spans="1:2" x14ac:dyDescent="0.25">
      <c r="A70" t="s">
        <v>741</v>
      </c>
      <c r="B70" t="s">
        <v>35</v>
      </c>
    </row>
    <row r="71" spans="1:2" x14ac:dyDescent="0.25">
      <c r="A71" t="s">
        <v>780</v>
      </c>
      <c r="B71" t="s">
        <v>19</v>
      </c>
    </row>
    <row r="72" spans="1:2" x14ac:dyDescent="0.25">
      <c r="A72" t="s">
        <v>781</v>
      </c>
      <c r="B72" t="s">
        <v>800</v>
      </c>
    </row>
    <row r="73" spans="1:2" x14ac:dyDescent="0.25">
      <c r="A73" t="s">
        <v>782</v>
      </c>
      <c r="B73" t="s">
        <v>38</v>
      </c>
    </row>
    <row r="74" spans="1:2" x14ac:dyDescent="0.25">
      <c r="A74" t="s">
        <v>783</v>
      </c>
      <c r="B74" t="s">
        <v>39</v>
      </c>
    </row>
    <row r="75" spans="1:2" x14ac:dyDescent="0.25">
      <c r="A75" t="s">
        <v>785</v>
      </c>
      <c r="B75" t="s">
        <v>25</v>
      </c>
    </row>
    <row r="76" spans="1:2" x14ac:dyDescent="0.25">
      <c r="A76" t="s">
        <v>787</v>
      </c>
      <c r="B76" t="s">
        <v>42</v>
      </c>
    </row>
    <row r="77" spans="1:2" x14ac:dyDescent="0.25">
      <c r="A77" t="s">
        <v>788</v>
      </c>
      <c r="B77" t="s">
        <v>801</v>
      </c>
    </row>
    <row r="78" spans="1:2" x14ac:dyDescent="0.25">
      <c r="A78" t="s">
        <v>790</v>
      </c>
      <c r="B78" t="s">
        <v>26</v>
      </c>
    </row>
    <row r="79" spans="1:2" x14ac:dyDescent="0.25">
      <c r="A79" t="s">
        <v>791</v>
      </c>
      <c r="B79" t="s">
        <v>27</v>
      </c>
    </row>
    <row r="80" spans="1:2" x14ac:dyDescent="0.25">
      <c r="A80" t="s">
        <v>792</v>
      </c>
      <c r="B80" t="s">
        <v>47</v>
      </c>
    </row>
    <row r="81" spans="1:2" x14ac:dyDescent="0.25">
      <c r="A81" t="s">
        <v>793</v>
      </c>
      <c r="B81" t="s">
        <v>49</v>
      </c>
    </row>
    <row r="82" spans="1:2" x14ac:dyDescent="0.25">
      <c r="A82" t="s">
        <v>794</v>
      </c>
      <c r="B82" t="s">
        <v>51</v>
      </c>
    </row>
    <row r="83" spans="1:2" x14ac:dyDescent="0.25">
      <c r="A83" t="s">
        <v>753</v>
      </c>
      <c r="B83" t="s">
        <v>802</v>
      </c>
    </row>
  </sheetData>
  <mergeCells count="3">
    <mergeCell ref="A47:B47"/>
    <mergeCell ref="A55:B55"/>
    <mergeCell ref="A68:B6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0240-BDE8-4820-BED9-CD4E62710320}">
  <dimension ref="A1:M21"/>
  <sheetViews>
    <sheetView zoomScale="130" zoomScaleNormal="130" workbookViewId="0">
      <selection activeCell="B2" sqref="B2:B21"/>
    </sheetView>
  </sheetViews>
  <sheetFormatPr baseColWidth="10" defaultRowHeight="15" x14ac:dyDescent="0.25"/>
  <cols>
    <col min="1" max="1" width="23.140625" customWidth="1"/>
    <col min="2" max="2" width="31.140625" bestFit="1" customWidth="1"/>
    <col min="3" max="3" width="9.5703125" style="1" customWidth="1"/>
    <col min="4" max="4" width="10.85546875" style="1"/>
    <col min="5" max="5" width="12.5703125" style="1" customWidth="1"/>
    <col min="6" max="7" width="10.42578125" style="1" customWidth="1"/>
    <col min="8" max="9" width="13" style="1" customWidth="1"/>
    <col min="10" max="10" width="10.5703125" style="1" customWidth="1"/>
    <col min="11" max="11" width="12.140625" customWidth="1"/>
  </cols>
  <sheetData>
    <row r="1" spans="1:13" s="6" customFormat="1" ht="30" x14ac:dyDescent="0.25">
      <c r="A1" s="5" t="s">
        <v>32</v>
      </c>
      <c r="B1" s="5" t="s">
        <v>844</v>
      </c>
      <c r="C1" s="5" t="s">
        <v>755</v>
      </c>
      <c r="D1" s="8" t="s">
        <v>126</v>
      </c>
      <c r="E1" s="8" t="s">
        <v>127</v>
      </c>
      <c r="F1" s="8" t="s">
        <v>128</v>
      </c>
      <c r="G1" s="8" t="s">
        <v>129</v>
      </c>
      <c r="H1" s="8" t="s">
        <v>130</v>
      </c>
      <c r="I1" s="8" t="s">
        <v>205</v>
      </c>
      <c r="J1" s="8" t="s">
        <v>131</v>
      </c>
      <c r="K1" s="8" t="s">
        <v>193</v>
      </c>
    </row>
    <row r="2" spans="1:13" ht="18.600000000000001" customHeight="1" x14ac:dyDescent="0.25">
      <c r="A2" s="2" t="s">
        <v>1</v>
      </c>
      <c r="B2" s="34" t="s">
        <v>824</v>
      </c>
      <c r="C2" s="1" t="str">
        <f>"A"&amp;TEXT(ROW(A1),"000")</f>
        <v>A001</v>
      </c>
      <c r="D2" s="1">
        <v>2</v>
      </c>
      <c r="E2" s="1">
        <v>1</v>
      </c>
      <c r="F2" s="1">
        <v>5</v>
      </c>
      <c r="G2" s="1">
        <v>5</v>
      </c>
      <c r="H2" s="1">
        <v>2</v>
      </c>
      <c r="I2" s="1">
        <f>E2+F2+G2+H2</f>
        <v>13</v>
      </c>
      <c r="J2" s="1">
        <f>D2*(SUM(E2:H2))</f>
        <v>26</v>
      </c>
      <c r="K2" s="22" t="str">
        <f>IF(J2&lt;=20, "Baja", IF(J2&lt;=40, "Media", IF(J2&lt;=70, "Alta", "Crítica")))</f>
        <v>Media</v>
      </c>
    </row>
    <row r="3" spans="1:13" ht="19.5" customHeight="1" x14ac:dyDescent="0.25">
      <c r="A3" s="2" t="s">
        <v>2</v>
      </c>
      <c r="B3" s="34" t="s">
        <v>825</v>
      </c>
      <c r="C3" s="1" t="str">
        <f t="shared" ref="C3:C21" si="0">"A"&amp;TEXT(ROW(A2),"000")</f>
        <v>A002</v>
      </c>
      <c r="D3" s="1">
        <v>2</v>
      </c>
      <c r="E3" s="1">
        <v>5</v>
      </c>
      <c r="F3" s="1">
        <v>3</v>
      </c>
      <c r="G3" s="1">
        <v>4</v>
      </c>
      <c r="H3" s="1">
        <v>3</v>
      </c>
      <c r="I3" s="1">
        <f t="shared" ref="I3:I21" si="1">E3+F3+G3+H3</f>
        <v>15</v>
      </c>
      <c r="J3" s="1">
        <f t="shared" ref="J3:J21" si="2">D3*(SUM(E3:H3))</f>
        <v>30</v>
      </c>
      <c r="K3" s="22" t="str">
        <f>IF(J3&lt;=20, "Baja", IF(J3&lt;=40, "Media", IF(J3&lt;=70, "Alta", "Crítica")))</f>
        <v>Media</v>
      </c>
    </row>
    <row r="4" spans="1:13" ht="15.95" customHeight="1" x14ac:dyDescent="0.25">
      <c r="A4" s="2" t="s">
        <v>3</v>
      </c>
      <c r="B4" s="34" t="s">
        <v>826</v>
      </c>
      <c r="C4" s="1" t="str">
        <f t="shared" si="0"/>
        <v>A003</v>
      </c>
      <c r="D4" s="1">
        <v>5</v>
      </c>
      <c r="E4" s="1">
        <v>2</v>
      </c>
      <c r="F4" s="1">
        <v>5</v>
      </c>
      <c r="G4" s="1">
        <v>5</v>
      </c>
      <c r="H4" s="1">
        <v>3</v>
      </c>
      <c r="I4" s="1">
        <f t="shared" si="1"/>
        <v>15</v>
      </c>
      <c r="J4" s="1">
        <f t="shared" si="2"/>
        <v>75</v>
      </c>
      <c r="K4" s="21" t="str">
        <f t="shared" ref="K4:K21" si="3">IF(J4&lt;=20, "Baja", IF(J4&lt;=40, "Media", IF(J4&lt;=70, "Alta", "Crítica")))</f>
        <v>Crítica</v>
      </c>
    </row>
    <row r="5" spans="1:13" ht="18.600000000000001" customHeight="1" x14ac:dyDescent="0.25">
      <c r="A5" s="2" t="s">
        <v>4</v>
      </c>
      <c r="B5" s="34" t="s">
        <v>827</v>
      </c>
      <c r="C5" s="1" t="str">
        <f t="shared" si="0"/>
        <v>A004</v>
      </c>
      <c r="D5" s="1">
        <v>3</v>
      </c>
      <c r="E5" s="1">
        <v>5</v>
      </c>
      <c r="F5" s="1">
        <v>4</v>
      </c>
      <c r="G5" s="1">
        <v>4</v>
      </c>
      <c r="H5" s="1">
        <v>3</v>
      </c>
      <c r="I5" s="1">
        <f t="shared" si="1"/>
        <v>16</v>
      </c>
      <c r="J5" s="1">
        <f t="shared" si="2"/>
        <v>48</v>
      </c>
      <c r="K5" s="23" t="str">
        <f>IF(J5&lt;=20, "Baja", IF(J5&lt;=40, "Media", IF(J5&lt;=70, "Alta", "Crítica")))</f>
        <v>Alta</v>
      </c>
    </row>
    <row r="6" spans="1:13" ht="18.600000000000001" customHeight="1" x14ac:dyDescent="0.25">
      <c r="A6" s="2" t="s">
        <v>5</v>
      </c>
      <c r="B6" s="34" t="s">
        <v>828</v>
      </c>
      <c r="C6" s="1" t="str">
        <f t="shared" si="0"/>
        <v>A005</v>
      </c>
      <c r="D6" s="1">
        <v>2</v>
      </c>
      <c r="E6" s="1">
        <v>1</v>
      </c>
      <c r="F6" s="1">
        <v>3</v>
      </c>
      <c r="G6" s="1">
        <v>3</v>
      </c>
      <c r="H6" s="1">
        <v>1</v>
      </c>
      <c r="I6" s="1">
        <f t="shared" si="1"/>
        <v>8</v>
      </c>
      <c r="J6" s="1">
        <f t="shared" si="2"/>
        <v>16</v>
      </c>
      <c r="K6" s="24" t="str">
        <f t="shared" si="3"/>
        <v>Baja</v>
      </c>
    </row>
    <row r="7" spans="1:13" ht="18.600000000000001" customHeight="1" x14ac:dyDescent="0.25">
      <c r="A7" s="2" t="s">
        <v>6</v>
      </c>
      <c r="B7" s="34" t="s">
        <v>829</v>
      </c>
      <c r="C7" s="1" t="str">
        <f t="shared" si="0"/>
        <v>A006</v>
      </c>
      <c r="D7" s="1">
        <v>5</v>
      </c>
      <c r="E7" s="1">
        <v>4</v>
      </c>
      <c r="F7" s="1">
        <v>2</v>
      </c>
      <c r="G7" s="1">
        <v>1</v>
      </c>
      <c r="H7" s="1">
        <v>2</v>
      </c>
      <c r="I7" s="1">
        <f t="shared" si="1"/>
        <v>9</v>
      </c>
      <c r="J7" s="1">
        <f t="shared" si="2"/>
        <v>45</v>
      </c>
      <c r="K7" s="23" t="str">
        <f t="shared" si="3"/>
        <v>Alta</v>
      </c>
    </row>
    <row r="8" spans="1:13" ht="18" customHeight="1" x14ac:dyDescent="0.25">
      <c r="A8" s="2" t="s">
        <v>7</v>
      </c>
      <c r="B8" s="34" t="s">
        <v>830</v>
      </c>
      <c r="C8" s="1" t="str">
        <f t="shared" si="0"/>
        <v>A007</v>
      </c>
      <c r="D8" s="1">
        <v>1</v>
      </c>
      <c r="E8" s="1">
        <v>2</v>
      </c>
      <c r="F8" s="1">
        <v>5</v>
      </c>
      <c r="G8" s="1">
        <v>3</v>
      </c>
      <c r="H8" s="1">
        <v>1</v>
      </c>
      <c r="I8" s="1">
        <f t="shared" si="1"/>
        <v>11</v>
      </c>
      <c r="J8" s="1">
        <f t="shared" si="2"/>
        <v>11</v>
      </c>
      <c r="K8" s="24" t="str">
        <f>IF(J8&lt;=20, "Baja", IF(J8&lt;=40, "Media", IF(J8&lt;=70, "Alta", "Crítica")))</f>
        <v>Baja</v>
      </c>
      <c r="M8" s="11"/>
    </row>
    <row r="9" spans="1:13" ht="15.95" customHeight="1" x14ac:dyDescent="0.25">
      <c r="A9" s="2" t="s">
        <v>8</v>
      </c>
      <c r="B9" s="34" t="s">
        <v>831</v>
      </c>
      <c r="C9" s="1" t="str">
        <f t="shared" si="0"/>
        <v>A008</v>
      </c>
      <c r="D9" s="1">
        <v>5</v>
      </c>
      <c r="E9" s="1">
        <v>2</v>
      </c>
      <c r="F9" s="1">
        <v>1</v>
      </c>
      <c r="G9" s="1">
        <v>1</v>
      </c>
      <c r="H9" s="1">
        <v>1</v>
      </c>
      <c r="I9" s="1">
        <f t="shared" si="1"/>
        <v>5</v>
      </c>
      <c r="J9" s="1">
        <f t="shared" si="2"/>
        <v>25</v>
      </c>
      <c r="K9" s="22" t="str">
        <f t="shared" si="3"/>
        <v>Media</v>
      </c>
      <c r="M9" s="11"/>
    </row>
    <row r="10" spans="1:13" ht="18.600000000000001" customHeight="1" x14ac:dyDescent="0.25">
      <c r="A10" s="2" t="s">
        <v>9</v>
      </c>
      <c r="B10" s="34" t="s">
        <v>832</v>
      </c>
      <c r="C10" s="1" t="str">
        <f t="shared" si="0"/>
        <v>A009</v>
      </c>
      <c r="D10" s="1">
        <v>3</v>
      </c>
      <c r="E10" s="1">
        <v>1</v>
      </c>
      <c r="F10" s="1">
        <v>1</v>
      </c>
      <c r="G10" s="1">
        <v>1</v>
      </c>
      <c r="H10" s="1">
        <v>3</v>
      </c>
      <c r="I10" s="1">
        <f t="shared" si="1"/>
        <v>6</v>
      </c>
      <c r="J10" s="1">
        <f t="shared" si="2"/>
        <v>18</v>
      </c>
      <c r="K10" s="24" t="str">
        <f t="shared" si="3"/>
        <v>Baja</v>
      </c>
      <c r="M10" s="11"/>
    </row>
    <row r="11" spans="1:13" ht="19.5" customHeight="1" x14ac:dyDescent="0.25">
      <c r="A11" s="2" t="s">
        <v>10</v>
      </c>
      <c r="B11" s="34" t="s">
        <v>833</v>
      </c>
      <c r="C11" s="1" t="str">
        <f t="shared" si="0"/>
        <v>A010</v>
      </c>
      <c r="D11" s="1">
        <v>5</v>
      </c>
      <c r="E11" s="1">
        <v>5</v>
      </c>
      <c r="F11" s="1">
        <v>5</v>
      </c>
      <c r="G11" s="1">
        <v>5</v>
      </c>
      <c r="H11" s="1">
        <v>3</v>
      </c>
      <c r="I11" s="1">
        <f t="shared" si="1"/>
        <v>18</v>
      </c>
      <c r="J11" s="1">
        <f t="shared" si="2"/>
        <v>90</v>
      </c>
      <c r="K11" s="21" t="str">
        <f t="shared" si="3"/>
        <v>Crítica</v>
      </c>
      <c r="M11" s="11"/>
    </row>
    <row r="12" spans="1:13" ht="23.45" customHeight="1" x14ac:dyDescent="0.25">
      <c r="A12" s="2" t="s">
        <v>41</v>
      </c>
      <c r="B12" s="34" t="s">
        <v>834</v>
      </c>
      <c r="C12" s="1" t="str">
        <f t="shared" si="0"/>
        <v>A011</v>
      </c>
      <c r="D12" s="1">
        <v>1</v>
      </c>
      <c r="E12" s="1">
        <v>2</v>
      </c>
      <c r="F12" s="1">
        <v>5</v>
      </c>
      <c r="G12" s="1">
        <v>4</v>
      </c>
      <c r="H12" s="1">
        <v>3</v>
      </c>
      <c r="I12" s="1">
        <f t="shared" si="1"/>
        <v>14</v>
      </c>
      <c r="J12" s="1">
        <f t="shared" si="2"/>
        <v>14</v>
      </c>
      <c r="K12" s="24" t="str">
        <f t="shared" si="3"/>
        <v>Baja</v>
      </c>
    </row>
    <row r="13" spans="1:13" ht="24" customHeight="1" x14ac:dyDescent="0.25">
      <c r="A13" s="2" t="s">
        <v>43</v>
      </c>
      <c r="B13" s="34" t="s">
        <v>835</v>
      </c>
      <c r="C13" s="1" t="str">
        <f t="shared" si="0"/>
        <v>A012</v>
      </c>
      <c r="D13" s="1">
        <v>2</v>
      </c>
      <c r="E13" s="1">
        <v>4</v>
      </c>
      <c r="F13" s="1">
        <v>3</v>
      </c>
      <c r="G13" s="1">
        <v>5</v>
      </c>
      <c r="H13" s="1">
        <v>1</v>
      </c>
      <c r="I13" s="1">
        <f t="shared" si="1"/>
        <v>13</v>
      </c>
      <c r="J13" s="1">
        <f t="shared" si="2"/>
        <v>26</v>
      </c>
      <c r="K13" s="22" t="str">
        <f t="shared" si="3"/>
        <v>Media</v>
      </c>
    </row>
    <row r="14" spans="1:13" ht="30" customHeight="1" x14ac:dyDescent="0.25">
      <c r="A14" s="2" t="s">
        <v>44</v>
      </c>
      <c r="B14" s="34" t="s">
        <v>836</v>
      </c>
      <c r="C14" s="1" t="str">
        <f t="shared" si="0"/>
        <v>A013</v>
      </c>
      <c r="D14" s="1">
        <v>4</v>
      </c>
      <c r="E14" s="1">
        <v>1</v>
      </c>
      <c r="F14" s="1">
        <v>5</v>
      </c>
      <c r="G14" s="1">
        <v>4</v>
      </c>
      <c r="H14" s="1">
        <v>5</v>
      </c>
      <c r="I14" s="1">
        <f t="shared" si="1"/>
        <v>15</v>
      </c>
      <c r="J14" s="1">
        <f>D14*(SUM(E14:H14))</f>
        <v>60</v>
      </c>
      <c r="K14" s="23" t="str">
        <f t="shared" si="3"/>
        <v>Alta</v>
      </c>
    </row>
    <row r="15" spans="1:13" ht="30.95" customHeight="1" x14ac:dyDescent="0.25">
      <c r="A15" s="2" t="s">
        <v>46</v>
      </c>
      <c r="B15" s="34" t="s">
        <v>837</v>
      </c>
      <c r="C15" s="1" t="str">
        <f t="shared" si="0"/>
        <v>A014</v>
      </c>
      <c r="D15" s="1">
        <v>5</v>
      </c>
      <c r="E15" s="1">
        <v>5</v>
      </c>
      <c r="F15" s="1">
        <v>1</v>
      </c>
      <c r="G15" s="1">
        <v>1</v>
      </c>
      <c r="H15" s="1">
        <v>5</v>
      </c>
      <c r="I15" s="1">
        <f t="shared" si="1"/>
        <v>12</v>
      </c>
      <c r="J15" s="1">
        <f t="shared" si="2"/>
        <v>60</v>
      </c>
      <c r="K15" s="23" t="str">
        <f t="shared" si="3"/>
        <v>Alta</v>
      </c>
    </row>
    <row r="16" spans="1:13" ht="18" customHeight="1" x14ac:dyDescent="0.25">
      <c r="A16" s="2" t="s">
        <v>11</v>
      </c>
      <c r="B16" s="34" t="s">
        <v>838</v>
      </c>
      <c r="C16" s="1" t="str">
        <f t="shared" si="0"/>
        <v>A015</v>
      </c>
      <c r="D16" s="1">
        <v>3</v>
      </c>
      <c r="E16" s="1">
        <v>2</v>
      </c>
      <c r="F16" s="1">
        <v>2</v>
      </c>
      <c r="G16" s="1">
        <v>5</v>
      </c>
      <c r="H16" s="1">
        <v>1</v>
      </c>
      <c r="I16" s="1">
        <f>E16+F16+G16+H16</f>
        <v>10</v>
      </c>
      <c r="J16" s="1">
        <f t="shared" si="2"/>
        <v>30</v>
      </c>
      <c r="K16" s="22" t="str">
        <f t="shared" si="3"/>
        <v>Media</v>
      </c>
    </row>
    <row r="17" spans="1:11" ht="20.45" customHeight="1" x14ac:dyDescent="0.25">
      <c r="A17" s="2" t="s">
        <v>12</v>
      </c>
      <c r="B17" s="34" t="s">
        <v>839</v>
      </c>
      <c r="C17" s="1" t="str">
        <f t="shared" si="0"/>
        <v>A016</v>
      </c>
      <c r="D17" s="1">
        <v>1</v>
      </c>
      <c r="E17" s="1">
        <v>1</v>
      </c>
      <c r="F17" s="1">
        <v>2</v>
      </c>
      <c r="G17" s="1">
        <v>2</v>
      </c>
      <c r="H17" s="1">
        <v>5</v>
      </c>
      <c r="I17" s="1">
        <f t="shared" si="1"/>
        <v>10</v>
      </c>
      <c r="J17" s="1">
        <f t="shared" si="2"/>
        <v>10</v>
      </c>
      <c r="K17" s="24" t="str">
        <f t="shared" si="3"/>
        <v>Baja</v>
      </c>
    </row>
    <row r="18" spans="1:11" ht="24.95" customHeight="1" x14ac:dyDescent="0.25">
      <c r="A18" s="2" t="s">
        <v>48</v>
      </c>
      <c r="B18" s="34" t="s">
        <v>841</v>
      </c>
      <c r="C18" s="1" t="str">
        <f t="shared" si="0"/>
        <v>A017</v>
      </c>
      <c r="D18" s="1">
        <v>2</v>
      </c>
      <c r="E18" s="1">
        <v>3</v>
      </c>
      <c r="F18" s="1">
        <v>1</v>
      </c>
      <c r="G18" s="1">
        <v>2</v>
      </c>
      <c r="H18" s="1">
        <v>2</v>
      </c>
      <c r="I18" s="1">
        <f t="shared" si="1"/>
        <v>8</v>
      </c>
      <c r="J18" s="1">
        <f t="shared" si="2"/>
        <v>16</v>
      </c>
      <c r="K18" s="24" t="str">
        <f t="shared" si="3"/>
        <v>Baja</v>
      </c>
    </row>
    <row r="19" spans="1:11" ht="33.950000000000003" customHeight="1" x14ac:dyDescent="0.25">
      <c r="A19" s="2" t="s">
        <v>50</v>
      </c>
      <c r="B19" s="34" t="s">
        <v>840</v>
      </c>
      <c r="C19" s="1" t="str">
        <f t="shared" si="0"/>
        <v>A018</v>
      </c>
      <c r="D19" s="1">
        <v>5</v>
      </c>
      <c r="E19" s="1">
        <v>4</v>
      </c>
      <c r="F19" s="1">
        <v>5</v>
      </c>
      <c r="G19" s="1">
        <v>4</v>
      </c>
      <c r="H19" s="1">
        <v>5</v>
      </c>
      <c r="I19" s="1">
        <f t="shared" si="1"/>
        <v>18</v>
      </c>
      <c r="J19" s="1">
        <f t="shared" si="2"/>
        <v>90</v>
      </c>
      <c r="K19" s="21" t="str">
        <f t="shared" si="3"/>
        <v>Crítica</v>
      </c>
    </row>
    <row r="20" spans="1:11" ht="30" customHeight="1" x14ac:dyDescent="0.25">
      <c r="A20" s="2" t="s">
        <v>58</v>
      </c>
      <c r="B20" s="34" t="s">
        <v>842</v>
      </c>
      <c r="C20" s="1" t="str">
        <f t="shared" si="0"/>
        <v>A019</v>
      </c>
      <c r="D20" s="1">
        <v>3</v>
      </c>
      <c r="E20" s="1">
        <v>3</v>
      </c>
      <c r="F20" s="1">
        <v>2</v>
      </c>
      <c r="G20" s="1">
        <v>5</v>
      </c>
      <c r="H20" s="1">
        <v>3</v>
      </c>
      <c r="I20" s="1">
        <f t="shared" si="1"/>
        <v>13</v>
      </c>
      <c r="J20" s="1">
        <f t="shared" si="2"/>
        <v>39</v>
      </c>
      <c r="K20" s="22" t="str">
        <f t="shared" si="3"/>
        <v>Media</v>
      </c>
    </row>
    <row r="21" spans="1:11" ht="24.95" customHeight="1" x14ac:dyDescent="0.25">
      <c r="A21" s="2" t="s">
        <v>13</v>
      </c>
      <c r="B21" s="34" t="s">
        <v>843</v>
      </c>
      <c r="C21" s="1" t="str">
        <f t="shared" si="0"/>
        <v>A020</v>
      </c>
      <c r="D21" s="1">
        <v>2</v>
      </c>
      <c r="E21" s="1">
        <v>2</v>
      </c>
      <c r="F21" s="1">
        <v>5</v>
      </c>
      <c r="G21" s="1">
        <v>5</v>
      </c>
      <c r="H21" s="1">
        <v>3</v>
      </c>
      <c r="I21" s="1">
        <f t="shared" si="1"/>
        <v>15</v>
      </c>
      <c r="J21" s="1">
        <f t="shared" si="2"/>
        <v>30</v>
      </c>
      <c r="K21" s="22" t="str">
        <f t="shared" si="3"/>
        <v>Media</v>
      </c>
    </row>
  </sheetData>
  <conditionalFormatting sqref="K1:K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C435-D447-4649-BEE9-65DAAAB988E2}">
  <dimension ref="A1:Q22"/>
  <sheetViews>
    <sheetView zoomScale="55" zoomScaleNormal="55" workbookViewId="0">
      <selection activeCell="H3" sqref="H3"/>
    </sheetView>
  </sheetViews>
  <sheetFormatPr baseColWidth="10" defaultRowHeight="15" x14ac:dyDescent="0.25"/>
  <cols>
    <col min="1" max="1" width="29.140625" customWidth="1"/>
    <col min="2" max="2" width="8" style="1" customWidth="1"/>
    <col min="3" max="3" width="21.85546875" customWidth="1"/>
    <col min="4" max="4" width="30.7109375" customWidth="1"/>
    <col min="5" max="5" width="34.85546875" customWidth="1"/>
    <col min="6" max="9" width="10.85546875" style="1"/>
    <col min="10" max="10" width="18.42578125" style="1" customWidth="1"/>
    <col min="11" max="11" width="40.28515625" customWidth="1"/>
    <col min="12" max="12" width="21.85546875" customWidth="1"/>
    <col min="13" max="13" width="21.5703125" customWidth="1"/>
    <col min="14" max="14" width="22.140625" customWidth="1"/>
    <col min="15" max="15" width="22.28515625" customWidth="1"/>
    <col min="16" max="16" width="22.140625" customWidth="1"/>
  </cols>
  <sheetData>
    <row r="1" spans="1:17" s="6" customFormat="1" ht="27" customHeight="1" x14ac:dyDescent="0.25">
      <c r="A1" s="5" t="s">
        <v>32</v>
      </c>
      <c r="B1" s="5" t="s">
        <v>755</v>
      </c>
      <c r="C1" s="4" t="s">
        <v>59</v>
      </c>
      <c r="D1" s="4" t="s">
        <v>845</v>
      </c>
      <c r="E1" s="4" t="s">
        <v>60</v>
      </c>
      <c r="F1" s="5" t="s">
        <v>846</v>
      </c>
      <c r="G1" s="5" t="s">
        <v>847</v>
      </c>
      <c r="H1" s="5" t="s">
        <v>848</v>
      </c>
      <c r="I1" s="5" t="s">
        <v>64</v>
      </c>
      <c r="J1" s="5" t="s">
        <v>255</v>
      </c>
      <c r="K1" s="4" t="s">
        <v>65</v>
      </c>
      <c r="L1" s="4" t="s">
        <v>259</v>
      </c>
      <c r="M1" s="4" t="s">
        <v>256</v>
      </c>
      <c r="N1" s="4" t="s">
        <v>126</v>
      </c>
      <c r="O1" s="4" t="s">
        <v>257</v>
      </c>
      <c r="P1" s="4" t="s">
        <v>258</v>
      </c>
    </row>
    <row r="2" spans="1:17" ht="37.5" customHeight="1" x14ac:dyDescent="0.25">
      <c r="A2" s="2" t="s">
        <v>1</v>
      </c>
      <c r="B2" s="1" t="str">
        <f>"A"&amp;TEXT(ROW(A1),"000")</f>
        <v>A001</v>
      </c>
      <c r="C2" s="2" t="s">
        <v>66</v>
      </c>
      <c r="D2" s="2" t="s">
        <v>67</v>
      </c>
      <c r="E2" s="2" t="s">
        <v>68</v>
      </c>
      <c r="F2" s="1">
        <v>6</v>
      </c>
      <c r="G2" s="1">
        <v>5</v>
      </c>
      <c r="H2" s="1">
        <v>5</v>
      </c>
      <c r="I2" s="7">
        <f>F2*G2*H2</f>
        <v>150</v>
      </c>
      <c r="J2" s="28" t="str">
        <f>IF(I2&lt;=50, "Baja", IF(I2&lt;=120, "Media", IF(I2&lt;=200, "Alta", "Crítica")))</f>
        <v>Alta</v>
      </c>
      <c r="K2" s="13" t="s">
        <v>262</v>
      </c>
      <c r="L2" s="13" t="s">
        <v>263</v>
      </c>
      <c r="M2" s="13" t="s">
        <v>264</v>
      </c>
      <c r="N2" s="13" t="s">
        <v>232</v>
      </c>
      <c r="O2" s="13" t="s">
        <v>265</v>
      </c>
      <c r="P2" s="13" t="s">
        <v>266</v>
      </c>
      <c r="Q2" s="12"/>
    </row>
    <row r="3" spans="1:17" ht="37.5" customHeight="1" x14ac:dyDescent="0.25">
      <c r="A3" s="2" t="s">
        <v>2</v>
      </c>
      <c r="B3" s="1" t="str">
        <f t="shared" ref="B3:B21" si="0">"A"&amp;TEXT(ROW(A2),"000")</f>
        <v>A002</v>
      </c>
      <c r="C3" s="2" t="s">
        <v>69</v>
      </c>
      <c r="D3" s="2" t="s">
        <v>70</v>
      </c>
      <c r="E3" s="2" t="s">
        <v>71</v>
      </c>
      <c r="F3" s="1">
        <v>2</v>
      </c>
      <c r="G3" s="1">
        <v>3</v>
      </c>
      <c r="H3" s="1">
        <v>10</v>
      </c>
      <c r="I3" s="7">
        <f t="shared" ref="I3:I21" si="1">F3*G3*H3</f>
        <v>60</v>
      </c>
      <c r="J3" s="25" t="str">
        <f t="shared" ref="J3:J21" si="2">IF(I3&lt;=50, "Baja", IF(I3&lt;=120, "Media", IF(I3&lt;=200, "Alta", "Crítica")))</f>
        <v>Media</v>
      </c>
      <c r="K3" s="13" t="s">
        <v>267</v>
      </c>
      <c r="L3" s="13" t="s">
        <v>263</v>
      </c>
      <c r="M3" s="13" t="s">
        <v>264</v>
      </c>
      <c r="N3" s="13" t="s">
        <v>232</v>
      </c>
      <c r="O3" s="13" t="s">
        <v>265</v>
      </c>
      <c r="P3" s="13" t="s">
        <v>268</v>
      </c>
    </row>
    <row r="4" spans="1:17" ht="36.950000000000003" customHeight="1" x14ac:dyDescent="0.25">
      <c r="A4" s="2" t="s">
        <v>3</v>
      </c>
      <c r="B4" s="1" t="str">
        <f t="shared" si="0"/>
        <v>A003</v>
      </c>
      <c r="C4" s="2" t="s">
        <v>72</v>
      </c>
      <c r="D4" s="2" t="s">
        <v>73</v>
      </c>
      <c r="E4" s="2" t="s">
        <v>74</v>
      </c>
      <c r="F4" s="1">
        <v>10</v>
      </c>
      <c r="G4" s="1">
        <v>5</v>
      </c>
      <c r="H4" s="1">
        <v>8</v>
      </c>
      <c r="I4" s="7">
        <f t="shared" si="1"/>
        <v>400</v>
      </c>
      <c r="J4" s="27" t="str">
        <f t="shared" si="2"/>
        <v>Crítica</v>
      </c>
      <c r="K4" s="13" t="s">
        <v>269</v>
      </c>
      <c r="L4" s="13" t="s">
        <v>263</v>
      </c>
      <c r="M4" s="13" t="s">
        <v>264</v>
      </c>
      <c r="N4" s="13" t="s">
        <v>233</v>
      </c>
      <c r="O4" s="13" t="s">
        <v>265</v>
      </c>
      <c r="P4" s="13" t="s">
        <v>270</v>
      </c>
    </row>
    <row r="5" spans="1:17" ht="36.950000000000003" customHeight="1" x14ac:dyDescent="0.25">
      <c r="A5" s="2" t="s">
        <v>4</v>
      </c>
      <c r="B5" s="1" t="str">
        <f t="shared" si="0"/>
        <v>A004</v>
      </c>
      <c r="C5" s="2" t="s">
        <v>75</v>
      </c>
      <c r="D5" s="2" t="s">
        <v>76</v>
      </c>
      <c r="E5" s="2" t="s">
        <v>77</v>
      </c>
      <c r="F5" s="1">
        <v>7</v>
      </c>
      <c r="G5" s="1">
        <v>1</v>
      </c>
      <c r="H5" s="1">
        <v>8</v>
      </c>
      <c r="I5" s="7">
        <f t="shared" si="1"/>
        <v>56</v>
      </c>
      <c r="J5" s="25" t="str">
        <f t="shared" si="2"/>
        <v>Media</v>
      </c>
      <c r="K5" s="13" t="s">
        <v>271</v>
      </c>
      <c r="L5" s="13" t="s">
        <v>272</v>
      </c>
      <c r="M5" s="13" t="s">
        <v>273</v>
      </c>
      <c r="N5" s="13" t="s">
        <v>233</v>
      </c>
      <c r="O5" s="13" t="s">
        <v>265</v>
      </c>
      <c r="P5" s="13" t="s">
        <v>274</v>
      </c>
    </row>
    <row r="6" spans="1:17" ht="36.950000000000003" customHeight="1" x14ac:dyDescent="0.25">
      <c r="A6" s="2" t="s">
        <v>5</v>
      </c>
      <c r="B6" s="1" t="str">
        <f t="shared" si="0"/>
        <v>A005</v>
      </c>
      <c r="C6" s="2" t="s">
        <v>78</v>
      </c>
      <c r="D6" s="2" t="s">
        <v>79</v>
      </c>
      <c r="E6" s="2" t="s">
        <v>80</v>
      </c>
      <c r="F6" s="1">
        <v>5</v>
      </c>
      <c r="G6" s="1">
        <v>7</v>
      </c>
      <c r="H6" s="1">
        <v>4</v>
      </c>
      <c r="I6" s="7">
        <f t="shared" si="1"/>
        <v>140</v>
      </c>
      <c r="J6" s="28" t="str">
        <f t="shared" si="2"/>
        <v>Alta</v>
      </c>
      <c r="K6" s="13" t="s">
        <v>275</v>
      </c>
      <c r="L6" s="13" t="s">
        <v>272</v>
      </c>
      <c r="M6" s="13" t="s">
        <v>273</v>
      </c>
      <c r="N6" s="13" t="s">
        <v>276</v>
      </c>
      <c r="O6" s="13" t="s">
        <v>265</v>
      </c>
      <c r="P6" s="13" t="s">
        <v>277</v>
      </c>
    </row>
    <row r="7" spans="1:17" ht="36.950000000000003" customHeight="1" x14ac:dyDescent="0.25">
      <c r="A7" s="2" t="s">
        <v>6</v>
      </c>
      <c r="B7" s="1" t="str">
        <f t="shared" si="0"/>
        <v>A006</v>
      </c>
      <c r="C7" s="2" t="s">
        <v>81</v>
      </c>
      <c r="D7" s="2" t="s">
        <v>82</v>
      </c>
      <c r="E7" s="2" t="s">
        <v>83</v>
      </c>
      <c r="F7" s="1">
        <v>1</v>
      </c>
      <c r="G7" s="1">
        <v>3</v>
      </c>
      <c r="H7" s="1">
        <v>5</v>
      </c>
      <c r="I7" s="7">
        <f t="shared" si="1"/>
        <v>15</v>
      </c>
      <c r="J7" s="26" t="str">
        <f t="shared" si="2"/>
        <v>Baja</v>
      </c>
      <c r="K7" s="13" t="s">
        <v>278</v>
      </c>
      <c r="L7" s="13" t="s">
        <v>272</v>
      </c>
      <c r="M7" s="13" t="s">
        <v>273</v>
      </c>
      <c r="N7" s="13" t="s">
        <v>232</v>
      </c>
      <c r="O7" s="13" t="s">
        <v>265</v>
      </c>
      <c r="P7" s="13" t="s">
        <v>279</v>
      </c>
    </row>
    <row r="8" spans="1:17" ht="37.5" customHeight="1" x14ac:dyDescent="0.25">
      <c r="A8" s="2" t="s">
        <v>7</v>
      </c>
      <c r="B8" s="1" t="str">
        <f t="shared" si="0"/>
        <v>A007</v>
      </c>
      <c r="C8" s="2" t="s">
        <v>84</v>
      </c>
      <c r="D8" s="2" t="s">
        <v>85</v>
      </c>
      <c r="E8" s="2" t="s">
        <v>86</v>
      </c>
      <c r="F8" s="1">
        <v>9</v>
      </c>
      <c r="G8" s="1">
        <v>7</v>
      </c>
      <c r="H8" s="1">
        <v>7</v>
      </c>
      <c r="I8" s="7">
        <f t="shared" si="1"/>
        <v>441</v>
      </c>
      <c r="J8" s="27" t="str">
        <f t="shared" si="2"/>
        <v>Crítica</v>
      </c>
      <c r="K8" s="13" t="s">
        <v>280</v>
      </c>
      <c r="L8" s="13" t="s">
        <v>263</v>
      </c>
      <c r="M8" s="13" t="s">
        <v>264</v>
      </c>
      <c r="N8" s="13" t="s">
        <v>233</v>
      </c>
      <c r="O8" s="13" t="s">
        <v>265</v>
      </c>
      <c r="P8" s="13" t="s">
        <v>281</v>
      </c>
    </row>
    <row r="9" spans="1:17" ht="37.5" customHeight="1" x14ac:dyDescent="0.25">
      <c r="A9" s="2" t="s">
        <v>8</v>
      </c>
      <c r="B9" s="1" t="str">
        <f t="shared" si="0"/>
        <v>A008</v>
      </c>
      <c r="C9" s="2" t="s">
        <v>87</v>
      </c>
      <c r="D9" s="2" t="s">
        <v>88</v>
      </c>
      <c r="E9" s="2" t="s">
        <v>89</v>
      </c>
      <c r="F9" s="1">
        <v>7</v>
      </c>
      <c r="G9" s="1">
        <v>7</v>
      </c>
      <c r="H9" s="1">
        <v>7</v>
      </c>
      <c r="I9" s="7">
        <f t="shared" si="1"/>
        <v>343</v>
      </c>
      <c r="J9" s="27" t="str">
        <f t="shared" si="2"/>
        <v>Crítica</v>
      </c>
      <c r="K9" s="13" t="s">
        <v>282</v>
      </c>
      <c r="L9" s="13" t="s">
        <v>272</v>
      </c>
      <c r="M9" s="13" t="s">
        <v>273</v>
      </c>
      <c r="N9" s="13" t="s">
        <v>233</v>
      </c>
      <c r="O9" s="13" t="s">
        <v>265</v>
      </c>
      <c r="P9" s="13" t="s">
        <v>283</v>
      </c>
    </row>
    <row r="10" spans="1:17" ht="36.950000000000003" customHeight="1" x14ac:dyDescent="0.25">
      <c r="A10" s="2" t="s">
        <v>9</v>
      </c>
      <c r="B10" s="1" t="str">
        <f t="shared" si="0"/>
        <v>A009</v>
      </c>
      <c r="C10" s="2" t="s">
        <v>90</v>
      </c>
      <c r="D10" s="2" t="s">
        <v>91</v>
      </c>
      <c r="E10" s="2" t="s">
        <v>92</v>
      </c>
      <c r="F10" s="1">
        <v>6</v>
      </c>
      <c r="G10" s="1">
        <v>1</v>
      </c>
      <c r="H10" s="1">
        <v>5</v>
      </c>
      <c r="I10" s="7">
        <f t="shared" si="1"/>
        <v>30</v>
      </c>
      <c r="J10" s="26" t="str">
        <f t="shared" si="2"/>
        <v>Baja</v>
      </c>
      <c r="K10" s="13" t="s">
        <v>284</v>
      </c>
      <c r="L10" s="13" t="s">
        <v>272</v>
      </c>
      <c r="M10" s="13" t="s">
        <v>273</v>
      </c>
      <c r="N10" s="13" t="s">
        <v>232</v>
      </c>
      <c r="O10" s="13" t="s">
        <v>265</v>
      </c>
      <c r="P10" s="13" t="s">
        <v>285</v>
      </c>
    </row>
    <row r="11" spans="1:17" ht="37.5" customHeight="1" x14ac:dyDescent="0.25">
      <c r="A11" s="2" t="s">
        <v>10</v>
      </c>
      <c r="B11" s="1" t="str">
        <f t="shared" si="0"/>
        <v>A010</v>
      </c>
      <c r="C11" s="2" t="s">
        <v>93</v>
      </c>
      <c r="D11" s="2" t="s">
        <v>94</v>
      </c>
      <c r="E11" s="2" t="s">
        <v>95</v>
      </c>
      <c r="F11" s="1">
        <v>2</v>
      </c>
      <c r="G11" s="1">
        <v>4</v>
      </c>
      <c r="H11" s="1">
        <v>8</v>
      </c>
      <c r="I11" s="7">
        <f t="shared" si="1"/>
        <v>64</v>
      </c>
      <c r="J11" s="25" t="str">
        <f t="shared" si="2"/>
        <v>Media</v>
      </c>
      <c r="K11" s="13" t="s">
        <v>286</v>
      </c>
      <c r="L11" s="13" t="s">
        <v>263</v>
      </c>
      <c r="M11" s="13" t="s">
        <v>264</v>
      </c>
      <c r="N11" s="13" t="s">
        <v>232</v>
      </c>
      <c r="O11" s="13" t="s">
        <v>287</v>
      </c>
      <c r="P11" s="13" t="s">
        <v>288</v>
      </c>
    </row>
    <row r="12" spans="1:17" ht="36.950000000000003" customHeight="1" x14ac:dyDescent="0.25">
      <c r="A12" s="2" t="s">
        <v>41</v>
      </c>
      <c r="B12" s="1" t="str">
        <f t="shared" si="0"/>
        <v>A011</v>
      </c>
      <c r="C12" s="2" t="s">
        <v>96</v>
      </c>
      <c r="D12" s="2" t="s">
        <v>97</v>
      </c>
      <c r="E12" s="2" t="s">
        <v>98</v>
      </c>
      <c r="F12" s="1">
        <v>3</v>
      </c>
      <c r="G12" s="1">
        <v>3</v>
      </c>
      <c r="H12" s="1">
        <v>10</v>
      </c>
      <c r="I12" s="7">
        <f t="shared" si="1"/>
        <v>90</v>
      </c>
      <c r="J12" s="25" t="str">
        <f t="shared" si="2"/>
        <v>Media</v>
      </c>
      <c r="K12" s="13" t="s">
        <v>289</v>
      </c>
      <c r="L12" s="13" t="s">
        <v>263</v>
      </c>
      <c r="M12" s="13" t="s">
        <v>264</v>
      </c>
      <c r="N12" s="13" t="s">
        <v>232</v>
      </c>
      <c r="O12" s="13" t="s">
        <v>287</v>
      </c>
      <c r="P12" s="13" t="s">
        <v>290</v>
      </c>
    </row>
    <row r="13" spans="1:17" ht="37.5" customHeight="1" x14ac:dyDescent="0.25">
      <c r="A13" s="2" t="s">
        <v>43</v>
      </c>
      <c r="B13" s="1" t="str">
        <f t="shared" si="0"/>
        <v>A012</v>
      </c>
      <c r="C13" s="2" t="s">
        <v>99</v>
      </c>
      <c r="D13" s="2" t="s">
        <v>100</v>
      </c>
      <c r="E13" s="2" t="s">
        <v>101</v>
      </c>
      <c r="F13" s="1">
        <v>4</v>
      </c>
      <c r="G13" s="1">
        <v>5</v>
      </c>
      <c r="H13" s="1">
        <v>4</v>
      </c>
      <c r="I13" s="7">
        <f t="shared" si="1"/>
        <v>80</v>
      </c>
      <c r="J13" s="25" t="str">
        <f t="shared" si="2"/>
        <v>Media</v>
      </c>
      <c r="K13" s="13" t="s">
        <v>291</v>
      </c>
      <c r="L13" s="13" t="s">
        <v>272</v>
      </c>
      <c r="M13" s="13" t="s">
        <v>273</v>
      </c>
      <c r="N13" s="13" t="s">
        <v>292</v>
      </c>
      <c r="O13" s="13" t="s">
        <v>287</v>
      </c>
      <c r="P13" s="13" t="s">
        <v>293</v>
      </c>
    </row>
    <row r="14" spans="1:17" ht="37.5" customHeight="1" x14ac:dyDescent="0.25">
      <c r="A14" s="2" t="s">
        <v>44</v>
      </c>
      <c r="B14" s="1" t="str">
        <f t="shared" si="0"/>
        <v>A013</v>
      </c>
      <c r="C14" s="2" t="s">
        <v>102</v>
      </c>
      <c r="D14" s="2" t="s">
        <v>103</v>
      </c>
      <c r="E14" s="2" t="s">
        <v>104</v>
      </c>
      <c r="F14" s="1">
        <v>8</v>
      </c>
      <c r="G14" s="1">
        <v>2</v>
      </c>
      <c r="H14" s="1">
        <v>1</v>
      </c>
      <c r="I14" s="7">
        <f t="shared" si="1"/>
        <v>16</v>
      </c>
      <c r="J14" s="26" t="str">
        <f t="shared" si="2"/>
        <v>Baja</v>
      </c>
      <c r="K14" s="13" t="s">
        <v>295</v>
      </c>
      <c r="L14" s="13" t="s">
        <v>272</v>
      </c>
      <c r="M14" s="13" t="s">
        <v>273</v>
      </c>
      <c r="N14" s="13" t="s">
        <v>232</v>
      </c>
      <c r="O14" s="13" t="s">
        <v>296</v>
      </c>
      <c r="P14" s="13" t="s">
        <v>297</v>
      </c>
    </row>
    <row r="15" spans="1:17" ht="36.950000000000003" customHeight="1" x14ac:dyDescent="0.25">
      <c r="A15" s="2" t="s">
        <v>46</v>
      </c>
      <c r="B15" s="1" t="str">
        <f t="shared" si="0"/>
        <v>A014</v>
      </c>
      <c r="C15" s="2" t="s">
        <v>105</v>
      </c>
      <c r="D15" s="2" t="s">
        <v>106</v>
      </c>
      <c r="E15" s="2" t="s">
        <v>107</v>
      </c>
      <c r="F15" s="1">
        <v>3</v>
      </c>
      <c r="G15" s="1">
        <v>6</v>
      </c>
      <c r="H15" s="1">
        <v>9</v>
      </c>
      <c r="I15" s="7">
        <f t="shared" si="1"/>
        <v>162</v>
      </c>
      <c r="J15" s="28" t="str">
        <f t="shared" si="2"/>
        <v>Alta</v>
      </c>
      <c r="K15" s="13" t="s">
        <v>298</v>
      </c>
      <c r="L15" s="13" t="s">
        <v>272</v>
      </c>
      <c r="M15" s="13" t="s">
        <v>273</v>
      </c>
      <c r="N15" s="13" t="s">
        <v>292</v>
      </c>
      <c r="O15" s="13" t="s">
        <v>265</v>
      </c>
      <c r="P15" s="13" t="s">
        <v>299</v>
      </c>
    </row>
    <row r="16" spans="1:17" ht="37.5" customHeight="1" x14ac:dyDescent="0.25">
      <c r="A16" s="2" t="s">
        <v>11</v>
      </c>
      <c r="B16" s="1" t="str">
        <f t="shared" si="0"/>
        <v>A015</v>
      </c>
      <c r="C16" s="2" t="s">
        <v>108</v>
      </c>
      <c r="D16" s="2" t="s">
        <v>109</v>
      </c>
      <c r="E16" s="2" t="s">
        <v>110</v>
      </c>
      <c r="F16" s="1">
        <v>7</v>
      </c>
      <c r="G16" s="1">
        <v>4</v>
      </c>
      <c r="H16" s="1">
        <v>8</v>
      </c>
      <c r="I16" s="7">
        <f t="shared" si="1"/>
        <v>224</v>
      </c>
      <c r="J16" s="27" t="str">
        <f t="shared" si="2"/>
        <v>Crítica</v>
      </c>
      <c r="K16" s="13" t="s">
        <v>300</v>
      </c>
      <c r="L16" s="13" t="s">
        <v>263</v>
      </c>
      <c r="M16" s="13" t="s">
        <v>264</v>
      </c>
      <c r="N16" s="13" t="s">
        <v>232</v>
      </c>
      <c r="O16" s="13" t="s">
        <v>265</v>
      </c>
      <c r="P16" s="13" t="s">
        <v>301</v>
      </c>
    </row>
    <row r="17" spans="1:16" ht="47.1" customHeight="1" x14ac:dyDescent="0.25">
      <c r="A17" s="2" t="s">
        <v>12</v>
      </c>
      <c r="B17" s="1" t="str">
        <f t="shared" si="0"/>
        <v>A016</v>
      </c>
      <c r="C17" s="2" t="s">
        <v>111</v>
      </c>
      <c r="D17" s="2" t="s">
        <v>112</v>
      </c>
      <c r="E17" s="2" t="s">
        <v>113</v>
      </c>
      <c r="F17" s="1">
        <v>6</v>
      </c>
      <c r="G17" s="1">
        <v>10</v>
      </c>
      <c r="H17" s="1">
        <v>2</v>
      </c>
      <c r="I17" s="7">
        <f t="shared" si="1"/>
        <v>120</v>
      </c>
      <c r="J17" s="25" t="str">
        <f t="shared" si="2"/>
        <v>Media</v>
      </c>
      <c r="K17" s="13" t="s">
        <v>302</v>
      </c>
      <c r="L17" s="13" t="s">
        <v>272</v>
      </c>
      <c r="M17" s="13" t="s">
        <v>273</v>
      </c>
      <c r="N17" s="13" t="s">
        <v>232</v>
      </c>
      <c r="O17" s="13" t="s">
        <v>303</v>
      </c>
      <c r="P17" s="13" t="s">
        <v>304</v>
      </c>
    </row>
    <row r="18" spans="1:16" ht="37.5" customHeight="1" x14ac:dyDescent="0.25">
      <c r="A18" s="2" t="s">
        <v>48</v>
      </c>
      <c r="B18" s="1" t="str">
        <f t="shared" si="0"/>
        <v>A017</v>
      </c>
      <c r="C18" s="2" t="s">
        <v>114</v>
      </c>
      <c r="D18" s="2" t="s">
        <v>115</v>
      </c>
      <c r="E18" s="2" t="s">
        <v>116</v>
      </c>
      <c r="F18" s="1">
        <v>4</v>
      </c>
      <c r="G18" s="1">
        <v>9</v>
      </c>
      <c r="H18" s="1">
        <v>8</v>
      </c>
      <c r="I18" s="7">
        <f t="shared" si="1"/>
        <v>288</v>
      </c>
      <c r="J18" s="27" t="str">
        <f t="shared" si="2"/>
        <v>Crítica</v>
      </c>
      <c r="K18" s="13" t="s">
        <v>305</v>
      </c>
      <c r="L18" s="13" t="s">
        <v>263</v>
      </c>
      <c r="M18" s="13" t="s">
        <v>264</v>
      </c>
      <c r="N18" s="13" t="s">
        <v>232</v>
      </c>
      <c r="O18" s="13" t="s">
        <v>287</v>
      </c>
      <c r="P18" s="13" t="s">
        <v>306</v>
      </c>
    </row>
    <row r="19" spans="1:16" ht="37.5" customHeight="1" x14ac:dyDescent="0.25">
      <c r="A19" s="2" t="s">
        <v>50</v>
      </c>
      <c r="B19" s="1" t="str">
        <f t="shared" si="0"/>
        <v>A018</v>
      </c>
      <c r="C19" s="2" t="s">
        <v>117</v>
      </c>
      <c r="D19" s="2" t="s">
        <v>118</v>
      </c>
      <c r="E19" s="2" t="s">
        <v>119</v>
      </c>
      <c r="F19" s="1">
        <v>6</v>
      </c>
      <c r="G19" s="1">
        <v>2</v>
      </c>
      <c r="H19" s="1">
        <v>6</v>
      </c>
      <c r="I19" s="7">
        <f t="shared" si="1"/>
        <v>72</v>
      </c>
      <c r="J19" s="25" t="str">
        <f t="shared" si="2"/>
        <v>Media</v>
      </c>
      <c r="K19" s="13" t="s">
        <v>307</v>
      </c>
      <c r="L19" s="13" t="s">
        <v>272</v>
      </c>
      <c r="M19" s="13" t="s">
        <v>273</v>
      </c>
      <c r="N19" s="13" t="s">
        <v>292</v>
      </c>
      <c r="O19" s="13" t="s">
        <v>287</v>
      </c>
      <c r="P19" s="13" t="s">
        <v>308</v>
      </c>
    </row>
    <row r="20" spans="1:16" ht="36.950000000000003" customHeight="1" x14ac:dyDescent="0.25">
      <c r="A20" s="2" t="s">
        <v>58</v>
      </c>
      <c r="B20" s="1" t="str">
        <f t="shared" si="0"/>
        <v>A019</v>
      </c>
      <c r="C20" s="2" t="s">
        <v>120</v>
      </c>
      <c r="D20" s="2" t="s">
        <v>121</v>
      </c>
      <c r="E20" s="2" t="s">
        <v>122</v>
      </c>
      <c r="F20" s="1">
        <v>7</v>
      </c>
      <c r="G20" s="1">
        <v>7</v>
      </c>
      <c r="H20" s="1">
        <v>8</v>
      </c>
      <c r="I20" s="7">
        <f t="shared" si="1"/>
        <v>392</v>
      </c>
      <c r="J20" s="27" t="str">
        <f t="shared" si="2"/>
        <v>Crítica</v>
      </c>
      <c r="K20" s="13" t="s">
        <v>309</v>
      </c>
      <c r="L20" s="13" t="s">
        <v>263</v>
      </c>
      <c r="M20" s="13" t="s">
        <v>264</v>
      </c>
      <c r="N20" s="13" t="s">
        <v>233</v>
      </c>
      <c r="O20" s="13" t="s">
        <v>31</v>
      </c>
      <c r="P20" s="13" t="s">
        <v>310</v>
      </c>
    </row>
    <row r="21" spans="1:16" ht="37.5" customHeight="1" x14ac:dyDescent="0.25">
      <c r="A21" s="2" t="s">
        <v>13</v>
      </c>
      <c r="B21" s="1" t="str">
        <f t="shared" si="0"/>
        <v>A020</v>
      </c>
      <c r="C21" s="2" t="s">
        <v>123</v>
      </c>
      <c r="D21" s="2" t="s">
        <v>124</v>
      </c>
      <c r="E21" s="2" t="s">
        <v>125</v>
      </c>
      <c r="F21" s="1">
        <v>2</v>
      </c>
      <c r="G21" s="1">
        <v>6</v>
      </c>
      <c r="H21" s="1">
        <v>4</v>
      </c>
      <c r="I21" s="7">
        <f t="shared" si="1"/>
        <v>48</v>
      </c>
      <c r="J21" s="26" t="str">
        <f t="shared" si="2"/>
        <v>Baja</v>
      </c>
      <c r="K21" s="13" t="s">
        <v>311</v>
      </c>
      <c r="L21" s="13" t="s">
        <v>272</v>
      </c>
      <c r="M21" s="13" t="s">
        <v>273</v>
      </c>
      <c r="N21" s="13" t="s">
        <v>232</v>
      </c>
      <c r="O21" s="13" t="s">
        <v>265</v>
      </c>
      <c r="P21" s="13" t="s">
        <v>312</v>
      </c>
    </row>
    <row r="22" spans="1:16" x14ac:dyDescent="0.25">
      <c r="K22" s="13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BEF3C-5C23-41AF-9D68-6FE732FFFBBD}">
  <dimension ref="A1:I21"/>
  <sheetViews>
    <sheetView zoomScale="60" zoomScaleNormal="60" workbookViewId="0">
      <selection activeCell="E10" sqref="E10"/>
    </sheetView>
  </sheetViews>
  <sheetFormatPr baseColWidth="10" defaultColWidth="10.85546875" defaultRowHeight="15" x14ac:dyDescent="0.25"/>
  <cols>
    <col min="1" max="1" width="15.42578125" style="29" customWidth="1"/>
    <col min="2" max="2" width="24.5703125" style="29" customWidth="1"/>
    <col min="3" max="3" width="24.140625" style="13" customWidth="1"/>
    <col min="4" max="4" width="29.85546875" style="29" customWidth="1"/>
    <col min="5" max="5" width="17" style="29" customWidth="1"/>
    <col min="6" max="6" width="21.28515625" style="13" customWidth="1"/>
    <col min="7" max="7" width="19.5703125" style="29" customWidth="1"/>
    <col min="8" max="16384" width="10.85546875" style="29"/>
  </cols>
  <sheetData>
    <row r="1" spans="1:9" x14ac:dyDescent="0.25">
      <c r="A1" s="4" t="s">
        <v>258</v>
      </c>
      <c r="B1" s="5" t="s">
        <v>32</v>
      </c>
      <c r="C1" s="8" t="s">
        <v>132</v>
      </c>
      <c r="D1" s="8" t="s">
        <v>135</v>
      </c>
      <c r="E1" s="8" t="s">
        <v>136</v>
      </c>
      <c r="F1" s="8" t="s">
        <v>137</v>
      </c>
      <c r="G1" s="8" t="s">
        <v>378</v>
      </c>
    </row>
    <row r="2" spans="1:9" ht="135.94999999999999" customHeight="1" x14ac:dyDescent="0.25">
      <c r="A2" s="13" t="s">
        <v>266</v>
      </c>
      <c r="B2" s="2" t="s">
        <v>1</v>
      </c>
      <c r="C2" s="13" t="s">
        <v>382</v>
      </c>
      <c r="D2" s="30" t="s">
        <v>379</v>
      </c>
      <c r="E2" s="13" t="s">
        <v>435</v>
      </c>
      <c r="F2" s="13" t="s">
        <v>436</v>
      </c>
      <c r="G2" s="13" t="s">
        <v>380</v>
      </c>
    </row>
    <row r="3" spans="1:9" ht="105" x14ac:dyDescent="0.25">
      <c r="A3" s="13" t="s">
        <v>268</v>
      </c>
      <c r="B3" s="2" t="s">
        <v>2</v>
      </c>
      <c r="C3" s="13" t="s">
        <v>319</v>
      </c>
      <c r="D3" s="30" t="s">
        <v>383</v>
      </c>
      <c r="E3" s="13" t="s">
        <v>437</v>
      </c>
      <c r="F3" s="13" t="s">
        <v>438</v>
      </c>
      <c r="G3" s="13" t="s">
        <v>384</v>
      </c>
    </row>
    <row r="4" spans="1:9" ht="120" x14ac:dyDescent="0.25">
      <c r="A4" s="13" t="s">
        <v>270</v>
      </c>
      <c r="B4" s="2" t="s">
        <v>3</v>
      </c>
      <c r="C4" s="13" t="s">
        <v>385</v>
      </c>
      <c r="D4" s="30" t="s">
        <v>386</v>
      </c>
      <c r="E4" s="13" t="s">
        <v>439</v>
      </c>
      <c r="F4" s="13" t="s">
        <v>440</v>
      </c>
      <c r="G4" s="13" t="s">
        <v>388</v>
      </c>
    </row>
    <row r="5" spans="1:9" ht="90" x14ac:dyDescent="0.25">
      <c r="A5" s="13" t="s">
        <v>274</v>
      </c>
      <c r="B5" s="2" t="s">
        <v>4</v>
      </c>
      <c r="C5" s="13" t="s">
        <v>381</v>
      </c>
      <c r="D5" s="13" t="s">
        <v>389</v>
      </c>
      <c r="E5" s="13" t="s">
        <v>441</v>
      </c>
      <c r="F5" s="13" t="s">
        <v>442</v>
      </c>
      <c r="G5" s="13" t="s">
        <v>390</v>
      </c>
      <c r="I5" s="29" t="s">
        <v>736</v>
      </c>
    </row>
    <row r="6" spans="1:9" ht="90" x14ac:dyDescent="0.25">
      <c r="A6" s="13" t="s">
        <v>277</v>
      </c>
      <c r="B6" s="2" t="s">
        <v>5</v>
      </c>
      <c r="C6" s="13" t="s">
        <v>391</v>
      </c>
      <c r="D6" s="13" t="s">
        <v>408</v>
      </c>
      <c r="E6" s="13" t="s">
        <v>443</v>
      </c>
      <c r="F6" s="13" t="s">
        <v>444</v>
      </c>
      <c r="G6" s="13" t="s">
        <v>392</v>
      </c>
    </row>
    <row r="7" spans="1:9" ht="90" x14ac:dyDescent="0.25">
      <c r="A7" s="13" t="s">
        <v>279</v>
      </c>
      <c r="B7" s="2" t="s">
        <v>6</v>
      </c>
      <c r="C7" s="13" t="s">
        <v>393</v>
      </c>
      <c r="D7" s="13" t="s">
        <v>407</v>
      </c>
      <c r="E7" s="13" t="s">
        <v>445</v>
      </c>
      <c r="F7" s="13" t="s">
        <v>446</v>
      </c>
      <c r="G7" s="13" t="s">
        <v>394</v>
      </c>
    </row>
    <row r="8" spans="1:9" ht="90" x14ac:dyDescent="0.25">
      <c r="A8" s="13" t="s">
        <v>281</v>
      </c>
      <c r="B8" s="2" t="s">
        <v>7</v>
      </c>
      <c r="C8" s="13" t="s">
        <v>334</v>
      </c>
      <c r="D8" s="13" t="s">
        <v>406</v>
      </c>
      <c r="E8" s="13" t="s">
        <v>447</v>
      </c>
      <c r="F8" s="13" t="s">
        <v>448</v>
      </c>
      <c r="G8" s="13" t="s">
        <v>395</v>
      </c>
    </row>
    <row r="9" spans="1:9" ht="90" x14ac:dyDescent="0.25">
      <c r="A9" s="13" t="s">
        <v>283</v>
      </c>
      <c r="B9" s="2" t="s">
        <v>8</v>
      </c>
      <c r="C9" s="13" t="s">
        <v>396</v>
      </c>
      <c r="D9" s="13" t="s">
        <v>405</v>
      </c>
      <c r="E9" s="13" t="s">
        <v>397</v>
      </c>
      <c r="F9" s="13" t="s">
        <v>398</v>
      </c>
      <c r="G9" s="13" t="s">
        <v>387</v>
      </c>
    </row>
    <row r="10" spans="1:9" ht="90" x14ac:dyDescent="0.25">
      <c r="A10" s="13" t="s">
        <v>285</v>
      </c>
      <c r="B10" s="2" t="s">
        <v>9</v>
      </c>
      <c r="C10" s="13" t="s">
        <v>399</v>
      </c>
      <c r="D10" s="13" t="s">
        <v>404</v>
      </c>
      <c r="E10" s="13" t="s">
        <v>400</v>
      </c>
      <c r="F10" s="13" t="s">
        <v>401</v>
      </c>
      <c r="G10" s="13" t="s">
        <v>402</v>
      </c>
    </row>
    <row r="11" spans="1:9" ht="90" x14ac:dyDescent="0.25">
      <c r="A11" s="13" t="s">
        <v>288</v>
      </c>
      <c r="B11" s="2" t="s">
        <v>10</v>
      </c>
      <c r="C11" s="13" t="s">
        <v>409</v>
      </c>
      <c r="D11" s="13" t="s">
        <v>403</v>
      </c>
      <c r="E11" s="13" t="s">
        <v>449</v>
      </c>
      <c r="F11" s="13" t="s">
        <v>450</v>
      </c>
      <c r="G11" s="13" t="s">
        <v>410</v>
      </c>
    </row>
    <row r="12" spans="1:9" ht="75" x14ac:dyDescent="0.25">
      <c r="A12" s="13" t="s">
        <v>290</v>
      </c>
      <c r="B12" s="2" t="s">
        <v>41</v>
      </c>
      <c r="C12" s="13" t="s">
        <v>346</v>
      </c>
      <c r="D12" s="13" t="s">
        <v>411</v>
      </c>
      <c r="E12" s="13" t="s">
        <v>451</v>
      </c>
      <c r="F12" s="13" t="s">
        <v>452</v>
      </c>
      <c r="G12" s="13" t="s">
        <v>416</v>
      </c>
    </row>
    <row r="13" spans="1:9" ht="75" x14ac:dyDescent="0.25">
      <c r="A13" s="13" t="s">
        <v>293</v>
      </c>
      <c r="B13" s="2" t="s">
        <v>43</v>
      </c>
      <c r="C13" s="13" t="s">
        <v>412</v>
      </c>
      <c r="D13" s="13" t="s">
        <v>413</v>
      </c>
      <c r="E13" s="13" t="s">
        <v>414</v>
      </c>
      <c r="F13" s="13" t="s">
        <v>453</v>
      </c>
      <c r="G13" s="13" t="s">
        <v>415</v>
      </c>
    </row>
    <row r="14" spans="1:9" ht="84.95" customHeight="1" x14ac:dyDescent="0.25">
      <c r="A14" s="13" t="s">
        <v>297</v>
      </c>
      <c r="B14" s="2" t="s">
        <v>44</v>
      </c>
      <c r="C14" s="13" t="s">
        <v>417</v>
      </c>
      <c r="D14" s="13" t="s">
        <v>418</v>
      </c>
      <c r="E14" s="13" t="s">
        <v>454</v>
      </c>
      <c r="F14" s="13" t="s">
        <v>455</v>
      </c>
      <c r="G14" s="13" t="s">
        <v>419</v>
      </c>
    </row>
    <row r="15" spans="1:9" ht="74.45" customHeight="1" x14ac:dyDescent="0.25">
      <c r="A15" s="13" t="s">
        <v>299</v>
      </c>
      <c r="B15" s="2" t="s">
        <v>46</v>
      </c>
      <c r="C15" s="13" t="s">
        <v>298</v>
      </c>
      <c r="D15" s="13" t="s">
        <v>420</v>
      </c>
      <c r="E15" s="13" t="s">
        <v>456</v>
      </c>
      <c r="F15" s="13" t="s">
        <v>457</v>
      </c>
      <c r="G15" s="13" t="s">
        <v>421</v>
      </c>
    </row>
    <row r="16" spans="1:9" ht="75" x14ac:dyDescent="0.25">
      <c r="A16" s="13" t="s">
        <v>301</v>
      </c>
      <c r="B16" s="2" t="s">
        <v>11</v>
      </c>
      <c r="C16" s="13" t="s">
        <v>422</v>
      </c>
      <c r="D16" s="13" t="s">
        <v>423</v>
      </c>
      <c r="E16" s="13" t="s">
        <v>424</v>
      </c>
      <c r="F16" s="13" t="s">
        <v>425</v>
      </c>
      <c r="G16" s="13" t="s">
        <v>421</v>
      </c>
    </row>
    <row r="17" spans="1:7" ht="75" x14ac:dyDescent="0.25">
      <c r="A17" s="13" t="s">
        <v>304</v>
      </c>
      <c r="B17" s="2" t="s">
        <v>12</v>
      </c>
      <c r="C17" s="13" t="s">
        <v>426</v>
      </c>
      <c r="D17" s="13" t="s">
        <v>427</v>
      </c>
      <c r="E17" s="13" t="s">
        <v>458</v>
      </c>
      <c r="F17" s="13" t="s">
        <v>453</v>
      </c>
      <c r="G17" s="13" t="s">
        <v>428</v>
      </c>
    </row>
    <row r="18" spans="1:7" ht="90" x14ac:dyDescent="0.25">
      <c r="A18" s="13" t="s">
        <v>306</v>
      </c>
      <c r="B18" s="2" t="s">
        <v>48</v>
      </c>
      <c r="C18" s="13" t="s">
        <v>429</v>
      </c>
      <c r="D18" s="13" t="s">
        <v>430</v>
      </c>
      <c r="E18" s="13" t="s">
        <v>459</v>
      </c>
      <c r="F18" s="13" t="s">
        <v>460</v>
      </c>
      <c r="G18" s="13" t="s">
        <v>431</v>
      </c>
    </row>
    <row r="19" spans="1:7" ht="86.45" customHeight="1" x14ac:dyDescent="0.25">
      <c r="A19" s="13" t="s">
        <v>308</v>
      </c>
      <c r="B19" s="2" t="s">
        <v>50</v>
      </c>
      <c r="C19" s="13" t="s">
        <v>432</v>
      </c>
      <c r="D19" s="13" t="s">
        <v>433</v>
      </c>
      <c r="E19" s="13" t="s">
        <v>461</v>
      </c>
      <c r="F19" s="13" t="s">
        <v>452</v>
      </c>
      <c r="G19" s="13" t="s">
        <v>434</v>
      </c>
    </row>
    <row r="20" spans="1:7" ht="79.5" customHeight="1" x14ac:dyDescent="0.25">
      <c r="A20" s="13" t="s">
        <v>310</v>
      </c>
      <c r="B20" s="2" t="s">
        <v>58</v>
      </c>
      <c r="C20" s="13" t="s">
        <v>462</v>
      </c>
      <c r="D20" s="13" t="s">
        <v>463</v>
      </c>
      <c r="E20" s="13" t="s">
        <v>464</v>
      </c>
      <c r="F20" s="13" t="s">
        <v>465</v>
      </c>
      <c r="G20" s="13" t="s">
        <v>466</v>
      </c>
    </row>
    <row r="21" spans="1:7" ht="75" x14ac:dyDescent="0.25">
      <c r="A21" s="13" t="s">
        <v>312</v>
      </c>
      <c r="B21" s="2" t="s">
        <v>13</v>
      </c>
      <c r="C21" s="13" t="s">
        <v>467</v>
      </c>
      <c r="D21" s="13" t="s">
        <v>468</v>
      </c>
      <c r="E21" s="13" t="s">
        <v>469</v>
      </c>
      <c r="F21" s="13" t="s">
        <v>470</v>
      </c>
      <c r="G21" s="13" t="s">
        <v>471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79BB0-3CDD-4BFB-8A83-262F3C0CF78A}">
  <dimension ref="A1:O21"/>
  <sheetViews>
    <sheetView zoomScale="60" zoomScaleNormal="60" workbookViewId="0">
      <selection activeCell="J21" sqref="J21"/>
    </sheetView>
  </sheetViews>
  <sheetFormatPr baseColWidth="10" defaultRowHeight="15" x14ac:dyDescent="0.25"/>
  <cols>
    <col min="1" max="1" width="12.85546875" customWidth="1"/>
    <col min="2" max="2" width="16" customWidth="1"/>
    <col min="3" max="3" width="6.85546875" customWidth="1"/>
    <col min="4" max="4" width="25.140625" customWidth="1"/>
    <col min="5" max="5" width="15.28515625" customWidth="1"/>
    <col min="6" max="6" width="13.5703125" customWidth="1"/>
    <col min="7" max="7" width="10.85546875" style="1"/>
    <col min="8" max="8" width="14.7109375" style="1" customWidth="1"/>
    <col min="9" max="9" width="12.42578125" style="1" customWidth="1"/>
    <col min="12" max="12" width="16.42578125" customWidth="1"/>
    <col min="13" max="13" width="13.140625" customWidth="1"/>
  </cols>
  <sheetData>
    <row r="1" spans="1:15" x14ac:dyDescent="0.25">
      <c r="A1" s="8" t="s">
        <v>313</v>
      </c>
      <c r="B1" s="8" t="s">
        <v>0</v>
      </c>
      <c r="C1" s="5" t="s">
        <v>755</v>
      </c>
      <c r="D1" s="8" t="s">
        <v>132</v>
      </c>
      <c r="E1" s="8" t="s">
        <v>134</v>
      </c>
      <c r="F1" s="8" t="s">
        <v>257</v>
      </c>
      <c r="G1" s="8" t="s">
        <v>725</v>
      </c>
      <c r="H1" s="8" t="s">
        <v>133</v>
      </c>
      <c r="I1" s="8" t="s">
        <v>726</v>
      </c>
      <c r="J1" s="8" t="s">
        <v>126</v>
      </c>
      <c r="K1" s="8" t="s">
        <v>260</v>
      </c>
      <c r="L1" s="8" t="s">
        <v>314</v>
      </c>
      <c r="M1" s="8" t="s">
        <v>261</v>
      </c>
      <c r="O1" s="12"/>
    </row>
    <row r="2" spans="1:15" ht="30" customHeight="1" x14ac:dyDescent="0.25">
      <c r="A2" s="13" t="s">
        <v>315</v>
      </c>
      <c r="B2" s="13" t="s">
        <v>1</v>
      </c>
      <c r="C2" s="1" t="str">
        <f>"A"&amp;TEXT(ROW(B1),"000")</f>
        <v>A001</v>
      </c>
      <c r="D2" s="13" t="s">
        <v>316</v>
      </c>
      <c r="E2" s="13" t="s">
        <v>727</v>
      </c>
      <c r="F2" s="13" t="s">
        <v>265</v>
      </c>
      <c r="G2" s="11">
        <v>2</v>
      </c>
      <c r="H2" s="11">
        <f>G2*I2</f>
        <v>6</v>
      </c>
      <c r="I2" s="11">
        <v>3</v>
      </c>
      <c r="J2" s="13" t="s">
        <v>232</v>
      </c>
      <c r="K2" s="13" t="s">
        <v>263</v>
      </c>
      <c r="L2" s="13" t="s">
        <v>317</v>
      </c>
      <c r="M2" s="13" t="s">
        <v>266</v>
      </c>
    </row>
    <row r="3" spans="1:15" ht="30" customHeight="1" x14ac:dyDescent="0.25">
      <c r="A3" s="13" t="s">
        <v>318</v>
      </c>
      <c r="B3" s="13" t="s">
        <v>2</v>
      </c>
      <c r="C3" s="1" t="str">
        <f t="shared" ref="C3:C21" si="0">"A"&amp;TEXT(ROW(B2),"000")</f>
        <v>A002</v>
      </c>
      <c r="D3" s="13" t="s">
        <v>319</v>
      </c>
      <c r="E3" s="13" t="s">
        <v>728</v>
      </c>
      <c r="F3" s="13" t="s">
        <v>265</v>
      </c>
      <c r="G3" s="11">
        <v>1</v>
      </c>
      <c r="H3" s="11">
        <f t="shared" ref="H3:H21" si="1">G3*I3</f>
        <v>2</v>
      </c>
      <c r="I3" s="11">
        <v>2</v>
      </c>
      <c r="J3" s="13" t="s">
        <v>232</v>
      </c>
      <c r="K3" s="13" t="s">
        <v>263</v>
      </c>
      <c r="L3" s="13" t="s">
        <v>320</v>
      </c>
      <c r="M3" s="13" t="s">
        <v>268</v>
      </c>
    </row>
    <row r="4" spans="1:15" ht="30" customHeight="1" x14ac:dyDescent="0.25">
      <c r="A4" s="13" t="s">
        <v>321</v>
      </c>
      <c r="B4" s="13" t="s">
        <v>3</v>
      </c>
      <c r="C4" s="1" t="str">
        <f t="shared" si="0"/>
        <v>A003</v>
      </c>
      <c r="D4" s="13" t="s">
        <v>322</v>
      </c>
      <c r="E4" s="13" t="s">
        <v>728</v>
      </c>
      <c r="F4" s="13" t="s">
        <v>265</v>
      </c>
      <c r="G4" s="11">
        <v>2</v>
      </c>
      <c r="H4" s="11">
        <f t="shared" si="1"/>
        <v>4</v>
      </c>
      <c r="I4" s="11">
        <v>2</v>
      </c>
      <c r="J4" s="13" t="s">
        <v>233</v>
      </c>
      <c r="K4" s="13" t="s">
        <v>263</v>
      </c>
      <c r="L4" s="13" t="s">
        <v>323</v>
      </c>
      <c r="M4" s="13" t="s">
        <v>270</v>
      </c>
    </row>
    <row r="5" spans="1:15" ht="30" customHeight="1" x14ac:dyDescent="0.25">
      <c r="A5" s="13" t="s">
        <v>324</v>
      </c>
      <c r="B5" s="13" t="s">
        <v>4</v>
      </c>
      <c r="C5" s="1" t="str">
        <f t="shared" si="0"/>
        <v>A004</v>
      </c>
      <c r="D5" s="13" t="s">
        <v>325</v>
      </c>
      <c r="E5" s="13" t="s">
        <v>729</v>
      </c>
      <c r="F5" s="13" t="s">
        <v>265</v>
      </c>
      <c r="G5" s="11">
        <v>2</v>
      </c>
      <c r="H5" s="11">
        <f t="shared" si="1"/>
        <v>3</v>
      </c>
      <c r="I5" s="11">
        <v>1.5</v>
      </c>
      <c r="J5" s="13" t="s">
        <v>233</v>
      </c>
      <c r="K5" s="13" t="s">
        <v>272</v>
      </c>
      <c r="L5" s="13" t="s">
        <v>326</v>
      </c>
      <c r="M5" s="13" t="s">
        <v>274</v>
      </c>
    </row>
    <row r="6" spans="1:15" ht="30" customHeight="1" x14ac:dyDescent="0.25">
      <c r="A6" s="13" t="s">
        <v>327</v>
      </c>
      <c r="B6" s="13" t="s">
        <v>5</v>
      </c>
      <c r="C6" s="1" t="str">
        <f t="shared" si="0"/>
        <v>A005</v>
      </c>
      <c r="D6" s="13" t="s">
        <v>328</v>
      </c>
      <c r="E6" s="13" t="s">
        <v>727</v>
      </c>
      <c r="F6" s="13" t="s">
        <v>265</v>
      </c>
      <c r="G6" s="11">
        <v>2</v>
      </c>
      <c r="H6" s="11">
        <f t="shared" si="1"/>
        <v>5</v>
      </c>
      <c r="I6" s="11">
        <v>2.5</v>
      </c>
      <c r="J6" s="13" t="s">
        <v>276</v>
      </c>
      <c r="K6" s="13" t="s">
        <v>272</v>
      </c>
      <c r="L6" s="13" t="s">
        <v>329</v>
      </c>
      <c r="M6" s="13" t="s">
        <v>277</v>
      </c>
    </row>
    <row r="7" spans="1:15" ht="30" customHeight="1" x14ac:dyDescent="0.25">
      <c r="A7" s="13" t="s">
        <v>330</v>
      </c>
      <c r="B7" s="13" t="s">
        <v>6</v>
      </c>
      <c r="C7" s="1" t="str">
        <f t="shared" si="0"/>
        <v>A006</v>
      </c>
      <c r="D7" s="13" t="s">
        <v>331</v>
      </c>
      <c r="E7" s="13" t="s">
        <v>729</v>
      </c>
      <c r="F7" s="13" t="s">
        <v>265</v>
      </c>
      <c r="G7" s="11">
        <v>1</v>
      </c>
      <c r="H7" s="11">
        <f t="shared" si="1"/>
        <v>3</v>
      </c>
      <c r="I7" s="11">
        <v>3</v>
      </c>
      <c r="J7" s="13" t="s">
        <v>232</v>
      </c>
      <c r="K7" s="13" t="s">
        <v>272</v>
      </c>
      <c r="L7" s="13" t="s">
        <v>332</v>
      </c>
      <c r="M7" s="13" t="s">
        <v>279</v>
      </c>
    </row>
    <row r="8" spans="1:15" ht="30" customHeight="1" x14ac:dyDescent="0.25">
      <c r="A8" s="13" t="s">
        <v>333</v>
      </c>
      <c r="B8" s="13" t="s">
        <v>7</v>
      </c>
      <c r="C8" s="1" t="str">
        <f t="shared" si="0"/>
        <v>A007</v>
      </c>
      <c r="D8" s="13" t="s">
        <v>334</v>
      </c>
      <c r="E8" s="13" t="s">
        <v>727</v>
      </c>
      <c r="F8" s="13" t="s">
        <v>265</v>
      </c>
      <c r="G8" s="11">
        <v>2</v>
      </c>
      <c r="H8" s="11">
        <f t="shared" si="1"/>
        <v>5</v>
      </c>
      <c r="I8" s="11">
        <v>2.5</v>
      </c>
      <c r="J8" s="13" t="s">
        <v>233</v>
      </c>
      <c r="K8" s="13" t="s">
        <v>263</v>
      </c>
      <c r="L8" s="13" t="s">
        <v>335</v>
      </c>
      <c r="M8" s="13" t="s">
        <v>281</v>
      </c>
    </row>
    <row r="9" spans="1:15" ht="30" customHeight="1" x14ac:dyDescent="0.25">
      <c r="A9" s="13" t="s">
        <v>336</v>
      </c>
      <c r="B9" s="13" t="s">
        <v>8</v>
      </c>
      <c r="C9" s="1" t="str">
        <f t="shared" si="0"/>
        <v>A008</v>
      </c>
      <c r="D9" s="13" t="s">
        <v>337</v>
      </c>
      <c r="E9" s="13" t="s">
        <v>729</v>
      </c>
      <c r="F9" s="13" t="s">
        <v>265</v>
      </c>
      <c r="G9" s="11">
        <v>2</v>
      </c>
      <c r="H9" s="11">
        <f t="shared" si="1"/>
        <v>4</v>
      </c>
      <c r="I9" s="11">
        <v>2</v>
      </c>
      <c r="J9" s="13" t="s">
        <v>233</v>
      </c>
      <c r="K9" s="13" t="s">
        <v>272</v>
      </c>
      <c r="L9" s="13" t="s">
        <v>338</v>
      </c>
      <c r="M9" s="13" t="s">
        <v>283</v>
      </c>
    </row>
    <row r="10" spans="1:15" ht="30" x14ac:dyDescent="0.25">
      <c r="A10" s="13" t="s">
        <v>339</v>
      </c>
      <c r="B10" s="13" t="s">
        <v>9</v>
      </c>
      <c r="C10" s="1" t="str">
        <f t="shared" si="0"/>
        <v>A009</v>
      </c>
      <c r="D10" s="13" t="s">
        <v>340</v>
      </c>
      <c r="E10" s="13" t="s">
        <v>729</v>
      </c>
      <c r="F10" s="13" t="s">
        <v>265</v>
      </c>
      <c r="G10" s="11">
        <v>1</v>
      </c>
      <c r="H10" s="11">
        <f t="shared" si="1"/>
        <v>3</v>
      </c>
      <c r="I10" s="11">
        <v>3</v>
      </c>
      <c r="J10" s="13" t="s">
        <v>232</v>
      </c>
      <c r="K10" s="13" t="s">
        <v>272</v>
      </c>
      <c r="L10" s="13" t="s">
        <v>341</v>
      </c>
      <c r="M10" s="13" t="s">
        <v>285</v>
      </c>
    </row>
    <row r="11" spans="1:15" ht="30" x14ac:dyDescent="0.25">
      <c r="A11" s="13" t="s">
        <v>342</v>
      </c>
      <c r="B11" s="13" t="s">
        <v>10</v>
      </c>
      <c r="C11" s="1" t="str">
        <f t="shared" si="0"/>
        <v>A010</v>
      </c>
      <c r="D11" s="13" t="s">
        <v>343</v>
      </c>
      <c r="E11" s="13" t="s">
        <v>730</v>
      </c>
      <c r="F11" s="13" t="s">
        <v>287</v>
      </c>
      <c r="G11" s="11">
        <v>2</v>
      </c>
      <c r="H11" s="11">
        <f t="shared" si="1"/>
        <v>4</v>
      </c>
      <c r="I11" s="11">
        <v>2</v>
      </c>
      <c r="J11" s="13" t="s">
        <v>232</v>
      </c>
      <c r="K11" s="13" t="s">
        <v>263</v>
      </c>
      <c r="L11" s="13" t="s">
        <v>344</v>
      </c>
      <c r="M11" s="13" t="s">
        <v>288</v>
      </c>
    </row>
    <row r="12" spans="1:15" ht="30" x14ac:dyDescent="0.25">
      <c r="A12" s="13" t="s">
        <v>345</v>
      </c>
      <c r="B12" s="13" t="s">
        <v>41</v>
      </c>
      <c r="C12" s="1" t="str">
        <f t="shared" si="0"/>
        <v>A011</v>
      </c>
      <c r="D12" s="13" t="s">
        <v>346</v>
      </c>
      <c r="E12" s="13" t="s">
        <v>731</v>
      </c>
      <c r="F12" s="13" t="s">
        <v>287</v>
      </c>
      <c r="G12" s="11">
        <v>1</v>
      </c>
      <c r="H12" s="11">
        <f t="shared" si="1"/>
        <v>2</v>
      </c>
      <c r="I12" s="11">
        <v>2</v>
      </c>
      <c r="J12" s="13" t="s">
        <v>232</v>
      </c>
      <c r="K12" s="13" t="s">
        <v>263</v>
      </c>
      <c r="L12" s="13" t="s">
        <v>347</v>
      </c>
      <c r="M12" s="13" t="s">
        <v>290</v>
      </c>
    </row>
    <row r="13" spans="1:15" ht="30" x14ac:dyDescent="0.25">
      <c r="A13" s="13" t="s">
        <v>348</v>
      </c>
      <c r="B13" s="13" t="s">
        <v>43</v>
      </c>
      <c r="C13" s="1" t="str">
        <f t="shared" si="0"/>
        <v>A012</v>
      </c>
      <c r="D13" s="13" t="s">
        <v>349</v>
      </c>
      <c r="E13" s="13" t="s">
        <v>731</v>
      </c>
      <c r="F13" s="13" t="s">
        <v>287</v>
      </c>
      <c r="G13" s="11">
        <v>1</v>
      </c>
      <c r="H13" s="11">
        <f t="shared" si="1"/>
        <v>2</v>
      </c>
      <c r="I13" s="11">
        <v>2</v>
      </c>
      <c r="J13" s="13" t="s">
        <v>292</v>
      </c>
      <c r="K13" s="13" t="s">
        <v>272</v>
      </c>
      <c r="L13" s="13" t="s">
        <v>350</v>
      </c>
      <c r="M13" s="13" t="s">
        <v>293</v>
      </c>
    </row>
    <row r="14" spans="1:15" ht="30" x14ac:dyDescent="0.25">
      <c r="A14" s="13" t="s">
        <v>351</v>
      </c>
      <c r="B14" s="13" t="s">
        <v>294</v>
      </c>
      <c r="C14" s="1" t="str">
        <f t="shared" si="0"/>
        <v>A013</v>
      </c>
      <c r="D14" s="13" t="s">
        <v>352</v>
      </c>
      <c r="E14" s="13" t="s">
        <v>732</v>
      </c>
      <c r="F14" s="13" t="s">
        <v>296</v>
      </c>
      <c r="G14" s="11">
        <v>1</v>
      </c>
      <c r="H14" s="11">
        <f t="shared" si="1"/>
        <v>4</v>
      </c>
      <c r="I14" s="11">
        <v>4</v>
      </c>
      <c r="J14" s="13" t="s">
        <v>232</v>
      </c>
      <c r="K14" s="13" t="s">
        <v>272</v>
      </c>
      <c r="L14" s="13" t="s">
        <v>353</v>
      </c>
      <c r="M14" s="13" t="s">
        <v>297</v>
      </c>
    </row>
    <row r="15" spans="1:15" ht="45" x14ac:dyDescent="0.25">
      <c r="A15" s="13" t="s">
        <v>354</v>
      </c>
      <c r="B15" s="13" t="s">
        <v>46</v>
      </c>
      <c r="C15" s="1" t="str">
        <f t="shared" si="0"/>
        <v>A014</v>
      </c>
      <c r="D15" s="13" t="s">
        <v>355</v>
      </c>
      <c r="E15" s="13" t="s">
        <v>733</v>
      </c>
      <c r="F15" s="13" t="s">
        <v>265</v>
      </c>
      <c r="G15" s="11">
        <v>2</v>
      </c>
      <c r="H15" s="11">
        <f t="shared" si="1"/>
        <v>4</v>
      </c>
      <c r="I15" s="11">
        <v>2</v>
      </c>
      <c r="J15" s="13" t="s">
        <v>292</v>
      </c>
      <c r="K15" s="13" t="s">
        <v>272</v>
      </c>
      <c r="L15" s="13" t="s">
        <v>356</v>
      </c>
      <c r="M15" s="13" t="s">
        <v>299</v>
      </c>
    </row>
    <row r="16" spans="1:15" ht="30" x14ac:dyDescent="0.25">
      <c r="A16" s="13" t="s">
        <v>357</v>
      </c>
      <c r="B16" s="13" t="s">
        <v>11</v>
      </c>
      <c r="C16" s="1" t="str">
        <f t="shared" si="0"/>
        <v>A015</v>
      </c>
      <c r="D16" s="13" t="s">
        <v>358</v>
      </c>
      <c r="E16" s="13" t="s">
        <v>729</v>
      </c>
      <c r="F16" s="13" t="s">
        <v>265</v>
      </c>
      <c r="G16" s="11">
        <v>1</v>
      </c>
      <c r="H16" s="11">
        <f t="shared" si="1"/>
        <v>3</v>
      </c>
      <c r="I16" s="11">
        <v>3</v>
      </c>
      <c r="J16" s="13" t="s">
        <v>232</v>
      </c>
      <c r="K16" s="13" t="s">
        <v>263</v>
      </c>
      <c r="L16" s="13" t="s">
        <v>359</v>
      </c>
      <c r="M16" s="13" t="s">
        <v>301</v>
      </c>
    </row>
    <row r="17" spans="1:13" ht="30" x14ac:dyDescent="0.25">
      <c r="A17" s="13" t="s">
        <v>360</v>
      </c>
      <c r="B17" s="13" t="s">
        <v>12</v>
      </c>
      <c r="C17" s="1" t="str">
        <f t="shared" si="0"/>
        <v>A016</v>
      </c>
      <c r="D17" s="13" t="s">
        <v>361</v>
      </c>
      <c r="E17" s="13" t="s">
        <v>734</v>
      </c>
      <c r="F17" s="13" t="s">
        <v>303</v>
      </c>
      <c r="G17" s="11">
        <v>1</v>
      </c>
      <c r="H17" s="11">
        <f t="shared" si="1"/>
        <v>2</v>
      </c>
      <c r="I17" s="11">
        <v>2</v>
      </c>
      <c r="J17" s="13" t="s">
        <v>232</v>
      </c>
      <c r="K17" s="13" t="s">
        <v>272</v>
      </c>
      <c r="L17" s="13" t="s">
        <v>362</v>
      </c>
      <c r="M17" s="13" t="s">
        <v>304</v>
      </c>
    </row>
    <row r="18" spans="1:13" ht="30" x14ac:dyDescent="0.25">
      <c r="A18" s="13" t="s">
        <v>363</v>
      </c>
      <c r="B18" s="13" t="s">
        <v>364</v>
      </c>
      <c r="C18" s="1" t="str">
        <f t="shared" si="0"/>
        <v>A017</v>
      </c>
      <c r="D18" s="13" t="s">
        <v>365</v>
      </c>
      <c r="E18" s="13" t="s">
        <v>730</v>
      </c>
      <c r="F18" s="13" t="s">
        <v>287</v>
      </c>
      <c r="G18" s="11">
        <v>1</v>
      </c>
      <c r="H18" s="11">
        <f t="shared" si="1"/>
        <v>3</v>
      </c>
      <c r="I18" s="11">
        <v>3</v>
      </c>
      <c r="J18" s="13" t="s">
        <v>232</v>
      </c>
      <c r="K18" s="13" t="s">
        <v>263</v>
      </c>
      <c r="L18" s="13" t="s">
        <v>344</v>
      </c>
      <c r="M18" s="13" t="s">
        <v>306</v>
      </c>
    </row>
    <row r="19" spans="1:13" ht="30" x14ac:dyDescent="0.25">
      <c r="A19" s="13" t="s">
        <v>366</v>
      </c>
      <c r="B19" s="13" t="s">
        <v>367</v>
      </c>
      <c r="C19" s="1" t="str">
        <f t="shared" si="0"/>
        <v>A018</v>
      </c>
      <c r="D19" s="13" t="s">
        <v>368</v>
      </c>
      <c r="E19" s="13" t="s">
        <v>731</v>
      </c>
      <c r="F19" s="13" t="s">
        <v>287</v>
      </c>
      <c r="G19" s="11">
        <v>1</v>
      </c>
      <c r="H19" s="11">
        <f t="shared" si="1"/>
        <v>2</v>
      </c>
      <c r="I19" s="11">
        <v>2</v>
      </c>
      <c r="J19" s="13" t="s">
        <v>292</v>
      </c>
      <c r="K19" s="13" t="s">
        <v>272</v>
      </c>
      <c r="L19" s="13" t="s">
        <v>369</v>
      </c>
      <c r="M19" s="13" t="s">
        <v>308</v>
      </c>
    </row>
    <row r="20" spans="1:13" ht="30" x14ac:dyDescent="0.25">
      <c r="A20" s="13" t="s">
        <v>370</v>
      </c>
      <c r="B20" s="13" t="s">
        <v>371</v>
      </c>
      <c r="C20" s="1" t="str">
        <f t="shared" si="0"/>
        <v>A019</v>
      </c>
      <c r="D20" s="13" t="s">
        <v>372</v>
      </c>
      <c r="E20" s="13" t="s">
        <v>735</v>
      </c>
      <c r="F20" s="13" t="s">
        <v>31</v>
      </c>
      <c r="G20" s="11">
        <v>1</v>
      </c>
      <c r="H20" s="11">
        <f t="shared" si="1"/>
        <v>2</v>
      </c>
      <c r="I20" s="11">
        <v>2</v>
      </c>
      <c r="J20" s="13" t="s">
        <v>233</v>
      </c>
      <c r="K20" s="13" t="s">
        <v>263</v>
      </c>
      <c r="L20" s="13" t="s">
        <v>373</v>
      </c>
      <c r="M20" s="13" t="s">
        <v>310</v>
      </c>
    </row>
    <row r="21" spans="1:13" ht="30" x14ac:dyDescent="0.25">
      <c r="A21" s="13" t="s">
        <v>374</v>
      </c>
      <c r="B21" s="13" t="s">
        <v>375</v>
      </c>
      <c r="C21" s="1" t="str">
        <f t="shared" si="0"/>
        <v>A020</v>
      </c>
      <c r="D21" s="13" t="s">
        <v>376</v>
      </c>
      <c r="E21" s="13" t="s">
        <v>729</v>
      </c>
      <c r="F21" s="13" t="s">
        <v>265</v>
      </c>
      <c r="G21" s="11">
        <v>1</v>
      </c>
      <c r="H21" s="11">
        <f t="shared" si="1"/>
        <v>2</v>
      </c>
      <c r="I21" s="11">
        <v>2</v>
      </c>
      <c r="J21" s="13" t="s">
        <v>232</v>
      </c>
      <c r="K21" s="13" t="s">
        <v>272</v>
      </c>
      <c r="L21" s="13" t="s">
        <v>377</v>
      </c>
      <c r="M21" s="13" t="s">
        <v>312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5ED9-D83D-4ECB-A5CF-39A8956A8F96}">
  <dimension ref="A1:AA51"/>
  <sheetViews>
    <sheetView zoomScale="70" zoomScaleNormal="70" workbookViewId="0">
      <selection activeCell="O7" sqref="O7"/>
    </sheetView>
  </sheetViews>
  <sheetFormatPr baseColWidth="10" defaultRowHeight="15" x14ac:dyDescent="0.25"/>
  <cols>
    <col min="2" max="2" width="16.5703125" customWidth="1"/>
    <col min="3" max="3" width="15.140625" customWidth="1"/>
    <col min="4" max="4" width="20.42578125" customWidth="1"/>
    <col min="6" max="11" width="10.85546875" style="1"/>
    <col min="13" max="13" width="16.42578125" customWidth="1"/>
  </cols>
  <sheetData>
    <row r="1" spans="1:27" ht="30" x14ac:dyDescent="0.25">
      <c r="A1" s="8" t="s">
        <v>472</v>
      </c>
      <c r="B1" s="8" t="s">
        <v>0</v>
      </c>
      <c r="C1" s="8" t="s">
        <v>473</v>
      </c>
      <c r="D1" s="8" t="s">
        <v>474</v>
      </c>
      <c r="E1" s="8" t="s">
        <v>475</v>
      </c>
      <c r="F1" s="8" t="s">
        <v>476</v>
      </c>
      <c r="G1" s="8" t="s">
        <v>477</v>
      </c>
      <c r="H1" s="8" t="s">
        <v>685</v>
      </c>
      <c r="I1" s="8" t="s">
        <v>478</v>
      </c>
      <c r="J1" s="8" t="s">
        <v>131</v>
      </c>
      <c r="K1" s="8" t="s">
        <v>724</v>
      </c>
      <c r="L1" s="8" t="s">
        <v>686</v>
      </c>
      <c r="M1" s="8" t="s">
        <v>479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30" x14ac:dyDescent="0.25">
      <c r="A2" s="13" t="s">
        <v>480</v>
      </c>
      <c r="B2" s="13" t="s">
        <v>1</v>
      </c>
      <c r="C2" s="13" t="s">
        <v>481</v>
      </c>
      <c r="D2" s="13" t="s">
        <v>482</v>
      </c>
      <c r="E2" s="13" t="s">
        <v>483</v>
      </c>
      <c r="F2" s="11">
        <v>4</v>
      </c>
      <c r="G2" s="11">
        <v>2</v>
      </c>
      <c r="H2" s="13" t="str">
        <f>IF(F2=0,"Sin Stock",IF(F2&lt;G2,"Crítico",IF(F2=G2,"Bajo Stock","Disponible")))</f>
        <v>Disponible</v>
      </c>
      <c r="I2" s="13" t="s">
        <v>508</v>
      </c>
      <c r="J2" s="13" t="s">
        <v>145</v>
      </c>
      <c r="K2" s="13" t="s">
        <v>673</v>
      </c>
      <c r="L2" s="13" t="s">
        <v>687</v>
      </c>
      <c r="M2" s="13" t="s">
        <v>509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30" x14ac:dyDescent="0.25">
      <c r="A3" s="13" t="s">
        <v>484</v>
      </c>
      <c r="B3" s="13" t="s">
        <v>1</v>
      </c>
      <c r="C3" s="13" t="s">
        <v>485</v>
      </c>
      <c r="D3" s="13" t="s">
        <v>486</v>
      </c>
      <c r="E3" s="13" t="s">
        <v>483</v>
      </c>
      <c r="F3" s="11">
        <v>6</v>
      </c>
      <c r="G3" s="11">
        <v>2</v>
      </c>
      <c r="H3" s="13" t="str">
        <f t="shared" ref="H3:H51" si="0">IF(F3=0,"Sin Stock",IF(F3&lt;G3,"Crítico",IF(F3=G3,"Bajo Stock","Disponible")))</f>
        <v>Disponible</v>
      </c>
      <c r="I3" s="13" t="s">
        <v>508</v>
      </c>
      <c r="J3" s="13" t="s">
        <v>145</v>
      </c>
      <c r="K3" s="13" t="s">
        <v>674</v>
      </c>
      <c r="L3" s="13" t="s">
        <v>688</v>
      </c>
      <c r="M3" s="13" t="s">
        <v>510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30" x14ac:dyDescent="0.25">
      <c r="A4" s="13" t="s">
        <v>487</v>
      </c>
      <c r="B4" s="13" t="s">
        <v>1</v>
      </c>
      <c r="C4" s="13" t="s">
        <v>488</v>
      </c>
      <c r="D4" s="13" t="s">
        <v>489</v>
      </c>
      <c r="E4" s="13" t="s">
        <v>483</v>
      </c>
      <c r="F4" s="11">
        <v>2</v>
      </c>
      <c r="G4" s="11">
        <v>1</v>
      </c>
      <c r="H4" s="13" t="str">
        <f t="shared" si="0"/>
        <v>Disponible</v>
      </c>
      <c r="I4" s="13" t="s">
        <v>508</v>
      </c>
      <c r="J4" s="13" t="s">
        <v>171</v>
      </c>
      <c r="K4" s="13" t="s">
        <v>675</v>
      </c>
      <c r="L4" s="13" t="s">
        <v>689</v>
      </c>
      <c r="M4" s="13" t="s">
        <v>511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30" x14ac:dyDescent="0.25">
      <c r="A5" s="13" t="s">
        <v>490</v>
      </c>
      <c r="B5" s="13" t="s">
        <v>1</v>
      </c>
      <c r="C5" s="13" t="s">
        <v>491</v>
      </c>
      <c r="D5" s="13" t="s">
        <v>492</v>
      </c>
      <c r="E5" s="13" t="s">
        <v>483</v>
      </c>
      <c r="F5" s="11">
        <v>10</v>
      </c>
      <c r="G5" s="11">
        <v>4</v>
      </c>
      <c r="H5" s="13" t="str">
        <f t="shared" si="0"/>
        <v>Disponible</v>
      </c>
      <c r="I5" s="13" t="s">
        <v>508</v>
      </c>
      <c r="J5" s="13" t="s">
        <v>144</v>
      </c>
      <c r="K5" s="13" t="s">
        <v>676</v>
      </c>
      <c r="L5" s="13" t="s">
        <v>690</v>
      </c>
      <c r="M5" s="13" t="s">
        <v>512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ht="30" x14ac:dyDescent="0.25">
      <c r="A6" s="13" t="s">
        <v>493</v>
      </c>
      <c r="B6" s="13" t="s">
        <v>2</v>
      </c>
      <c r="C6" s="13" t="s">
        <v>513</v>
      </c>
      <c r="D6" s="13" t="s">
        <v>514</v>
      </c>
      <c r="E6" s="13" t="s">
        <v>483</v>
      </c>
      <c r="F6" s="11">
        <v>2</v>
      </c>
      <c r="G6" s="11">
        <v>1</v>
      </c>
      <c r="H6" s="13" t="str">
        <f t="shared" si="0"/>
        <v>Disponible</v>
      </c>
      <c r="I6" s="13" t="s">
        <v>508</v>
      </c>
      <c r="J6" s="13" t="s">
        <v>145</v>
      </c>
      <c r="K6" s="13" t="s">
        <v>677</v>
      </c>
      <c r="L6" s="13" t="s">
        <v>691</v>
      </c>
      <c r="M6" s="13" t="s">
        <v>511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ht="30" x14ac:dyDescent="0.25">
      <c r="A7" s="13" t="s">
        <v>495</v>
      </c>
      <c r="B7" s="13" t="s">
        <v>2</v>
      </c>
      <c r="C7" s="13" t="s">
        <v>515</v>
      </c>
      <c r="D7" s="13" t="s">
        <v>482</v>
      </c>
      <c r="E7" s="13" t="s">
        <v>483</v>
      </c>
      <c r="F7" s="11">
        <v>4</v>
      </c>
      <c r="G7" s="11">
        <v>2</v>
      </c>
      <c r="H7" s="13" t="str">
        <f t="shared" si="0"/>
        <v>Disponible</v>
      </c>
      <c r="I7" s="13" t="s">
        <v>508</v>
      </c>
      <c r="J7" s="13" t="s">
        <v>145</v>
      </c>
      <c r="K7" s="13" t="s">
        <v>673</v>
      </c>
      <c r="L7" s="13" t="s">
        <v>687</v>
      </c>
      <c r="M7" s="13" t="s">
        <v>509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13" t="s">
        <v>497</v>
      </c>
      <c r="B8" s="13" t="s">
        <v>3</v>
      </c>
      <c r="C8" s="13" t="s">
        <v>516</v>
      </c>
      <c r="D8" s="13" t="s">
        <v>494</v>
      </c>
      <c r="E8" s="13" t="s">
        <v>483</v>
      </c>
      <c r="F8" s="11">
        <v>1</v>
      </c>
      <c r="G8" s="11">
        <v>1</v>
      </c>
      <c r="H8" s="13" t="str">
        <f t="shared" si="0"/>
        <v>Bajo Stock</v>
      </c>
      <c r="I8" s="13" t="s">
        <v>508</v>
      </c>
      <c r="J8" s="13" t="s">
        <v>171</v>
      </c>
      <c r="K8" s="13" t="s">
        <v>678</v>
      </c>
      <c r="L8" s="13" t="s">
        <v>692</v>
      </c>
      <c r="M8" s="13" t="s">
        <v>511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30" x14ac:dyDescent="0.25">
      <c r="A9" s="13" t="s">
        <v>499</v>
      </c>
      <c r="B9" s="13" t="s">
        <v>3</v>
      </c>
      <c r="C9" s="13" t="s">
        <v>517</v>
      </c>
      <c r="D9" s="13" t="s">
        <v>496</v>
      </c>
      <c r="E9" s="13" t="s">
        <v>483</v>
      </c>
      <c r="F9" s="11">
        <v>1</v>
      </c>
      <c r="G9" s="11">
        <v>1</v>
      </c>
      <c r="H9" s="13" t="str">
        <f t="shared" si="0"/>
        <v>Bajo Stock</v>
      </c>
      <c r="I9" s="13" t="s">
        <v>508</v>
      </c>
      <c r="J9" s="13" t="s">
        <v>171</v>
      </c>
      <c r="K9" s="13" t="s">
        <v>679</v>
      </c>
      <c r="L9" s="13" t="s">
        <v>693</v>
      </c>
      <c r="M9" s="13" t="s">
        <v>518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x14ac:dyDescent="0.25">
      <c r="A10" s="13" t="s">
        <v>501</v>
      </c>
      <c r="B10" s="13" t="s">
        <v>3</v>
      </c>
      <c r="C10" s="13" t="s">
        <v>519</v>
      </c>
      <c r="D10" s="13" t="s">
        <v>498</v>
      </c>
      <c r="E10" s="13" t="s">
        <v>483</v>
      </c>
      <c r="F10" s="11">
        <v>2</v>
      </c>
      <c r="G10" s="11">
        <v>1</v>
      </c>
      <c r="H10" s="13" t="str">
        <f t="shared" si="0"/>
        <v>Disponible</v>
      </c>
      <c r="I10" s="13" t="s">
        <v>508</v>
      </c>
      <c r="J10" s="13" t="s">
        <v>171</v>
      </c>
      <c r="K10" s="13" t="s">
        <v>680</v>
      </c>
      <c r="L10" s="13" t="s">
        <v>694</v>
      </c>
      <c r="M10" s="13" t="s">
        <v>510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30" x14ac:dyDescent="0.25">
      <c r="A11" s="13" t="s">
        <v>503</v>
      </c>
      <c r="B11" s="13" t="s">
        <v>3</v>
      </c>
      <c r="C11" s="13" t="s">
        <v>520</v>
      </c>
      <c r="D11" s="13" t="s">
        <v>500</v>
      </c>
      <c r="E11" s="13" t="s">
        <v>303</v>
      </c>
      <c r="F11" s="11">
        <v>4</v>
      </c>
      <c r="G11" s="11">
        <v>2</v>
      </c>
      <c r="H11" s="13" t="str">
        <f t="shared" si="0"/>
        <v>Disponible</v>
      </c>
      <c r="I11" s="13" t="s">
        <v>508</v>
      </c>
      <c r="J11" s="13" t="s">
        <v>145</v>
      </c>
      <c r="K11" s="13" t="s">
        <v>681</v>
      </c>
      <c r="L11" s="13" t="s">
        <v>695</v>
      </c>
      <c r="M11" s="13" t="s">
        <v>521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30" x14ac:dyDescent="0.25">
      <c r="A12" s="13" t="s">
        <v>505</v>
      </c>
      <c r="B12" s="13" t="s">
        <v>4</v>
      </c>
      <c r="C12" s="13" t="s">
        <v>522</v>
      </c>
      <c r="D12" s="13" t="s">
        <v>504</v>
      </c>
      <c r="E12" s="13" t="s">
        <v>483</v>
      </c>
      <c r="F12" s="11">
        <v>1</v>
      </c>
      <c r="G12" s="11">
        <v>1</v>
      </c>
      <c r="H12" s="13" t="str">
        <f t="shared" si="0"/>
        <v>Bajo Stock</v>
      </c>
      <c r="I12" s="13" t="s">
        <v>508</v>
      </c>
      <c r="J12" s="13" t="s">
        <v>171</v>
      </c>
      <c r="K12" s="13" t="s">
        <v>675</v>
      </c>
      <c r="L12" s="13" t="s">
        <v>694</v>
      </c>
      <c r="M12" s="13" t="s">
        <v>523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30" x14ac:dyDescent="0.25">
      <c r="A13" s="13" t="s">
        <v>507</v>
      </c>
      <c r="B13" s="13" t="s">
        <v>4</v>
      </c>
      <c r="C13" s="13" t="s">
        <v>524</v>
      </c>
      <c r="D13" s="13" t="s">
        <v>502</v>
      </c>
      <c r="E13" s="13" t="s">
        <v>483</v>
      </c>
      <c r="F13" s="11">
        <v>12</v>
      </c>
      <c r="G13" s="11">
        <v>4</v>
      </c>
      <c r="H13" s="13" t="str">
        <f t="shared" si="0"/>
        <v>Disponible</v>
      </c>
      <c r="I13" s="13" t="s">
        <v>508</v>
      </c>
      <c r="J13" s="13" t="s">
        <v>144</v>
      </c>
      <c r="K13" s="13" t="s">
        <v>682</v>
      </c>
      <c r="L13" s="13" t="s">
        <v>696</v>
      </c>
      <c r="M13" s="13" t="s">
        <v>525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30" x14ac:dyDescent="0.25">
      <c r="A14" s="13" t="s">
        <v>526</v>
      </c>
      <c r="B14" s="13" t="s">
        <v>4</v>
      </c>
      <c r="C14" s="13" t="s">
        <v>527</v>
      </c>
      <c r="D14" s="13" t="s">
        <v>506</v>
      </c>
      <c r="E14" s="13" t="s">
        <v>483</v>
      </c>
      <c r="F14" s="11">
        <v>8</v>
      </c>
      <c r="G14" s="11">
        <v>2</v>
      </c>
      <c r="H14" s="13" t="str">
        <f t="shared" si="0"/>
        <v>Disponible</v>
      </c>
      <c r="I14" s="13" t="s">
        <v>508</v>
      </c>
      <c r="J14" s="13" t="s">
        <v>145</v>
      </c>
      <c r="K14" s="13" t="s">
        <v>673</v>
      </c>
      <c r="L14" s="13" t="s">
        <v>697</v>
      </c>
      <c r="M14" s="13" t="s">
        <v>525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30" x14ac:dyDescent="0.25">
      <c r="A15" s="13" t="s">
        <v>528</v>
      </c>
      <c r="B15" s="13" t="s">
        <v>4</v>
      </c>
      <c r="C15" s="13" t="s">
        <v>529</v>
      </c>
      <c r="D15" s="13" t="s">
        <v>530</v>
      </c>
      <c r="E15" s="13" t="s">
        <v>483</v>
      </c>
      <c r="F15" s="11">
        <v>4</v>
      </c>
      <c r="G15" s="11">
        <v>2</v>
      </c>
      <c r="H15" s="13" t="str">
        <f t="shared" si="0"/>
        <v>Disponible</v>
      </c>
      <c r="I15" s="13" t="s">
        <v>508</v>
      </c>
      <c r="J15" s="13" t="s">
        <v>144</v>
      </c>
      <c r="K15" s="13" t="s">
        <v>674</v>
      </c>
      <c r="L15" s="13" t="s">
        <v>698</v>
      </c>
      <c r="M15" s="13" t="s">
        <v>531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30" x14ac:dyDescent="0.25">
      <c r="A16" s="13" t="s">
        <v>532</v>
      </c>
      <c r="B16" s="13" t="s">
        <v>5</v>
      </c>
      <c r="C16" s="13" t="s">
        <v>533</v>
      </c>
      <c r="D16" s="13" t="s">
        <v>534</v>
      </c>
      <c r="E16" s="13" t="s">
        <v>483</v>
      </c>
      <c r="F16" s="11">
        <v>10</v>
      </c>
      <c r="G16" s="11">
        <v>4</v>
      </c>
      <c r="H16" s="13" t="str">
        <f t="shared" si="0"/>
        <v>Disponible</v>
      </c>
      <c r="I16" s="13" t="s">
        <v>508</v>
      </c>
      <c r="J16" s="13" t="s">
        <v>144</v>
      </c>
      <c r="K16" s="13" t="s">
        <v>682</v>
      </c>
      <c r="L16" s="13" t="s">
        <v>699</v>
      </c>
      <c r="M16" s="13" t="s">
        <v>525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30" x14ac:dyDescent="0.25">
      <c r="A17" s="13" t="s">
        <v>535</v>
      </c>
      <c r="B17" s="13" t="s">
        <v>5</v>
      </c>
      <c r="C17" s="13" t="s">
        <v>536</v>
      </c>
      <c r="D17" s="13" t="s">
        <v>504</v>
      </c>
      <c r="E17" s="13" t="s">
        <v>483</v>
      </c>
      <c r="F17" s="11">
        <v>1</v>
      </c>
      <c r="G17" s="11">
        <v>1</v>
      </c>
      <c r="H17" s="13" t="str">
        <f t="shared" si="0"/>
        <v>Bajo Stock</v>
      </c>
      <c r="I17" s="13" t="s">
        <v>508</v>
      </c>
      <c r="J17" s="13" t="s">
        <v>171</v>
      </c>
      <c r="K17" s="13" t="s">
        <v>675</v>
      </c>
      <c r="L17" s="13" t="s">
        <v>694</v>
      </c>
      <c r="M17" s="13" t="s">
        <v>523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30" x14ac:dyDescent="0.25">
      <c r="A18" s="13" t="s">
        <v>537</v>
      </c>
      <c r="B18" s="13" t="s">
        <v>6</v>
      </c>
      <c r="C18" s="13" t="s">
        <v>538</v>
      </c>
      <c r="D18" s="13" t="s">
        <v>539</v>
      </c>
      <c r="E18" s="13" t="s">
        <v>483</v>
      </c>
      <c r="F18" s="11">
        <v>6</v>
      </c>
      <c r="G18" s="11">
        <v>2</v>
      </c>
      <c r="H18" s="13" t="str">
        <f t="shared" si="0"/>
        <v>Disponible</v>
      </c>
      <c r="I18" s="13" t="s">
        <v>508</v>
      </c>
      <c r="J18" s="13" t="s">
        <v>144</v>
      </c>
      <c r="K18" s="13" t="s">
        <v>676</v>
      </c>
      <c r="L18" s="13" t="s">
        <v>700</v>
      </c>
      <c r="M18" s="13" t="s">
        <v>540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30" x14ac:dyDescent="0.25">
      <c r="A19" s="13" t="s">
        <v>541</v>
      </c>
      <c r="B19" s="13" t="s">
        <v>6</v>
      </c>
      <c r="C19" s="13" t="s">
        <v>542</v>
      </c>
      <c r="D19" s="13" t="s">
        <v>543</v>
      </c>
      <c r="E19" s="13" t="s">
        <v>483</v>
      </c>
      <c r="F19" s="11">
        <v>2</v>
      </c>
      <c r="G19" s="11">
        <v>1</v>
      </c>
      <c r="H19" s="13" t="str">
        <f t="shared" si="0"/>
        <v>Disponible</v>
      </c>
      <c r="I19" s="13" t="s">
        <v>508</v>
      </c>
      <c r="J19" s="13" t="s">
        <v>145</v>
      </c>
      <c r="K19" s="13" t="s">
        <v>683</v>
      </c>
      <c r="L19" s="13" t="s">
        <v>701</v>
      </c>
      <c r="M19" s="13" t="s">
        <v>540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30" x14ac:dyDescent="0.25">
      <c r="A20" s="13" t="s">
        <v>544</v>
      </c>
      <c r="B20" s="13" t="s">
        <v>6</v>
      </c>
      <c r="C20" s="13" t="s">
        <v>545</v>
      </c>
      <c r="D20" s="13" t="s">
        <v>546</v>
      </c>
      <c r="E20" s="13" t="s">
        <v>483</v>
      </c>
      <c r="F20" s="11">
        <v>4</v>
      </c>
      <c r="G20" s="11">
        <v>2</v>
      </c>
      <c r="H20" s="13" t="str">
        <f t="shared" si="0"/>
        <v>Disponible</v>
      </c>
      <c r="I20" s="13" t="s">
        <v>547</v>
      </c>
      <c r="J20" s="13" t="s">
        <v>144</v>
      </c>
      <c r="K20" s="13" t="s">
        <v>674</v>
      </c>
      <c r="L20" s="13" t="s">
        <v>702</v>
      </c>
      <c r="M20" s="13" t="s">
        <v>540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30" x14ac:dyDescent="0.25">
      <c r="A21" s="13" t="s">
        <v>548</v>
      </c>
      <c r="B21" s="13" t="s">
        <v>7</v>
      </c>
      <c r="C21" s="13" t="s">
        <v>549</v>
      </c>
      <c r="D21" s="13" t="s">
        <v>550</v>
      </c>
      <c r="E21" s="13" t="s">
        <v>483</v>
      </c>
      <c r="F21" s="11">
        <v>2</v>
      </c>
      <c r="G21" s="11">
        <v>1</v>
      </c>
      <c r="H21" s="13" t="str">
        <f t="shared" si="0"/>
        <v>Disponible</v>
      </c>
      <c r="I21" s="13" t="s">
        <v>508</v>
      </c>
      <c r="J21" s="13" t="s">
        <v>171</v>
      </c>
      <c r="K21" s="13" t="s">
        <v>680</v>
      </c>
      <c r="L21" s="13" t="s">
        <v>703</v>
      </c>
      <c r="M21" s="13" t="s">
        <v>511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30" x14ac:dyDescent="0.25">
      <c r="A22" s="13" t="s">
        <v>551</v>
      </c>
      <c r="B22" s="13" t="s">
        <v>7</v>
      </c>
      <c r="C22" s="13" t="s">
        <v>552</v>
      </c>
      <c r="D22" s="13" t="s">
        <v>553</v>
      </c>
      <c r="E22" s="13" t="s">
        <v>483</v>
      </c>
      <c r="F22" s="11">
        <v>2</v>
      </c>
      <c r="G22" s="11">
        <v>1</v>
      </c>
      <c r="H22" s="13" t="str">
        <f t="shared" si="0"/>
        <v>Disponible</v>
      </c>
      <c r="I22" s="13" t="s">
        <v>508</v>
      </c>
      <c r="J22" s="13" t="s">
        <v>171</v>
      </c>
      <c r="K22" s="13" t="s">
        <v>680</v>
      </c>
      <c r="L22" s="13" t="s">
        <v>704</v>
      </c>
      <c r="M22" s="13" t="s">
        <v>511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30" x14ac:dyDescent="0.25">
      <c r="A23" s="13" t="s">
        <v>554</v>
      </c>
      <c r="B23" s="13" t="s">
        <v>7</v>
      </c>
      <c r="C23" s="13" t="s">
        <v>555</v>
      </c>
      <c r="D23" s="13" t="s">
        <v>556</v>
      </c>
      <c r="E23" s="13" t="s">
        <v>557</v>
      </c>
      <c r="F23" s="11">
        <v>1</v>
      </c>
      <c r="G23" s="11">
        <v>1</v>
      </c>
      <c r="H23" s="13" t="str">
        <f t="shared" si="0"/>
        <v>Bajo Stock</v>
      </c>
      <c r="I23" s="13" t="s">
        <v>508</v>
      </c>
      <c r="J23" s="13" t="s">
        <v>145</v>
      </c>
      <c r="K23" s="13" t="s">
        <v>677</v>
      </c>
      <c r="L23" s="13" t="s">
        <v>705</v>
      </c>
      <c r="M23" s="13" t="s">
        <v>558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30" x14ac:dyDescent="0.25">
      <c r="A24" s="13" t="s">
        <v>559</v>
      </c>
      <c r="B24" s="13" t="s">
        <v>8</v>
      </c>
      <c r="C24" s="13" t="s">
        <v>560</v>
      </c>
      <c r="D24" s="13" t="s">
        <v>561</v>
      </c>
      <c r="E24" s="13" t="s">
        <v>483</v>
      </c>
      <c r="F24" s="11">
        <v>8</v>
      </c>
      <c r="G24" s="11">
        <v>3</v>
      </c>
      <c r="H24" s="13" t="str">
        <f t="shared" si="0"/>
        <v>Disponible</v>
      </c>
      <c r="I24" s="13" t="s">
        <v>508</v>
      </c>
      <c r="J24" s="13" t="s">
        <v>145</v>
      </c>
      <c r="K24" s="13" t="s">
        <v>683</v>
      </c>
      <c r="L24" s="13" t="s">
        <v>706</v>
      </c>
      <c r="M24" s="13" t="s">
        <v>511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30" x14ac:dyDescent="0.25">
      <c r="A25" s="13" t="s">
        <v>562</v>
      </c>
      <c r="B25" s="13" t="s">
        <v>8</v>
      </c>
      <c r="C25" s="13" t="s">
        <v>563</v>
      </c>
      <c r="D25" s="13" t="s">
        <v>564</v>
      </c>
      <c r="E25" s="13" t="s">
        <v>483</v>
      </c>
      <c r="F25" s="11">
        <v>6</v>
      </c>
      <c r="G25" s="11">
        <v>2</v>
      </c>
      <c r="H25" s="13" t="str">
        <f t="shared" si="0"/>
        <v>Disponible</v>
      </c>
      <c r="I25" s="13" t="s">
        <v>508</v>
      </c>
      <c r="J25" s="13" t="s">
        <v>145</v>
      </c>
      <c r="K25" s="13" t="s">
        <v>681</v>
      </c>
      <c r="L25" s="13" t="s">
        <v>695</v>
      </c>
      <c r="M25" s="13" t="s">
        <v>565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30" x14ac:dyDescent="0.25">
      <c r="A26" s="13" t="s">
        <v>566</v>
      </c>
      <c r="B26" s="13" t="s">
        <v>9</v>
      </c>
      <c r="C26" s="13" t="s">
        <v>567</v>
      </c>
      <c r="D26" s="13" t="s">
        <v>568</v>
      </c>
      <c r="E26" s="13" t="s">
        <v>483</v>
      </c>
      <c r="F26" s="11">
        <v>6</v>
      </c>
      <c r="G26" s="11">
        <v>2</v>
      </c>
      <c r="H26" s="13" t="str">
        <f t="shared" si="0"/>
        <v>Disponible</v>
      </c>
      <c r="I26" s="13" t="s">
        <v>508</v>
      </c>
      <c r="J26" s="13" t="s">
        <v>144</v>
      </c>
      <c r="K26" s="13" t="s">
        <v>682</v>
      </c>
      <c r="L26" s="13" t="s">
        <v>690</v>
      </c>
      <c r="M26" s="13" t="s">
        <v>569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30" x14ac:dyDescent="0.25">
      <c r="A27" s="13" t="s">
        <v>570</v>
      </c>
      <c r="B27" s="13" t="s">
        <v>9</v>
      </c>
      <c r="C27" s="13" t="s">
        <v>571</v>
      </c>
      <c r="D27" s="13" t="s">
        <v>572</v>
      </c>
      <c r="E27" s="13" t="s">
        <v>483</v>
      </c>
      <c r="F27" s="11">
        <v>4</v>
      </c>
      <c r="G27" s="11">
        <v>2</v>
      </c>
      <c r="H27" s="13" t="str">
        <f t="shared" si="0"/>
        <v>Disponible</v>
      </c>
      <c r="I27" s="13" t="s">
        <v>508</v>
      </c>
      <c r="J27" s="13" t="s">
        <v>144</v>
      </c>
      <c r="K27" s="13" t="s">
        <v>674</v>
      </c>
      <c r="L27" s="13" t="s">
        <v>707</v>
      </c>
      <c r="M27" s="13" t="s">
        <v>510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30" x14ac:dyDescent="0.25">
      <c r="A28" s="13" t="s">
        <v>573</v>
      </c>
      <c r="B28" s="13" t="s">
        <v>10</v>
      </c>
      <c r="C28" s="13" t="s">
        <v>574</v>
      </c>
      <c r="D28" s="13" t="s">
        <v>575</v>
      </c>
      <c r="E28" s="13" t="s">
        <v>576</v>
      </c>
      <c r="F28" s="11">
        <v>2</v>
      </c>
      <c r="G28" s="11">
        <v>1</v>
      </c>
      <c r="H28" s="13" t="str">
        <f t="shared" si="0"/>
        <v>Disponible</v>
      </c>
      <c r="I28" s="13" t="s">
        <v>508</v>
      </c>
      <c r="J28" s="13" t="s">
        <v>145</v>
      </c>
      <c r="K28" s="13" t="s">
        <v>673</v>
      </c>
      <c r="L28" s="13" t="s">
        <v>708</v>
      </c>
      <c r="M28" s="13" t="s">
        <v>577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30" x14ac:dyDescent="0.25">
      <c r="A29" s="13" t="s">
        <v>578</v>
      </c>
      <c r="B29" s="13" t="s">
        <v>10</v>
      </c>
      <c r="C29" s="13" t="s">
        <v>579</v>
      </c>
      <c r="D29" s="13" t="s">
        <v>580</v>
      </c>
      <c r="E29" s="13" t="s">
        <v>576</v>
      </c>
      <c r="F29" s="11">
        <v>2</v>
      </c>
      <c r="G29" s="11">
        <v>1</v>
      </c>
      <c r="H29" s="13" t="str">
        <f t="shared" si="0"/>
        <v>Disponible</v>
      </c>
      <c r="I29" s="13" t="s">
        <v>508</v>
      </c>
      <c r="J29" s="13" t="s">
        <v>145</v>
      </c>
      <c r="K29" s="13" t="s">
        <v>683</v>
      </c>
      <c r="L29" s="13" t="s">
        <v>709</v>
      </c>
      <c r="M29" s="13" t="s">
        <v>581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30" x14ac:dyDescent="0.25">
      <c r="A30" s="13" t="s">
        <v>582</v>
      </c>
      <c r="B30" s="13" t="s">
        <v>41</v>
      </c>
      <c r="C30" s="13" t="s">
        <v>583</v>
      </c>
      <c r="D30" s="13" t="s">
        <v>584</v>
      </c>
      <c r="E30" s="13" t="s">
        <v>576</v>
      </c>
      <c r="F30" s="11">
        <v>4</v>
      </c>
      <c r="G30" s="11">
        <v>2</v>
      </c>
      <c r="H30" s="13" t="str">
        <f t="shared" si="0"/>
        <v>Disponible</v>
      </c>
      <c r="I30" s="13" t="s">
        <v>508</v>
      </c>
      <c r="J30" s="13" t="s">
        <v>145</v>
      </c>
      <c r="K30" s="13" t="s">
        <v>674</v>
      </c>
      <c r="L30" s="13" t="s">
        <v>710</v>
      </c>
      <c r="M30" s="13" t="s">
        <v>510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30" x14ac:dyDescent="0.25">
      <c r="A31" s="13" t="s">
        <v>585</v>
      </c>
      <c r="B31" s="13" t="s">
        <v>41</v>
      </c>
      <c r="C31" s="13" t="s">
        <v>586</v>
      </c>
      <c r="D31" s="13" t="s">
        <v>587</v>
      </c>
      <c r="E31" s="13" t="s">
        <v>31</v>
      </c>
      <c r="F31" s="11">
        <v>8</v>
      </c>
      <c r="G31" s="11">
        <v>3</v>
      </c>
      <c r="H31" s="13" t="str">
        <f t="shared" si="0"/>
        <v>Disponible</v>
      </c>
      <c r="I31" s="13" t="s">
        <v>588</v>
      </c>
      <c r="J31" s="13" t="s">
        <v>144</v>
      </c>
      <c r="K31" s="13" t="s">
        <v>684</v>
      </c>
      <c r="L31" s="13" t="s">
        <v>711</v>
      </c>
      <c r="M31" s="13" t="s">
        <v>589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30" x14ac:dyDescent="0.25">
      <c r="A32" s="13" t="s">
        <v>590</v>
      </c>
      <c r="B32" s="13" t="s">
        <v>43</v>
      </c>
      <c r="C32" s="13" t="s">
        <v>591</v>
      </c>
      <c r="D32" s="13" t="s">
        <v>592</v>
      </c>
      <c r="E32" s="13" t="s">
        <v>576</v>
      </c>
      <c r="F32" s="11">
        <v>1</v>
      </c>
      <c r="G32" s="11">
        <v>1</v>
      </c>
      <c r="H32" s="13" t="str">
        <f t="shared" si="0"/>
        <v>Bajo Stock</v>
      </c>
      <c r="I32" s="13" t="s">
        <v>508</v>
      </c>
      <c r="J32" s="13" t="s">
        <v>145</v>
      </c>
      <c r="K32" s="13" t="s">
        <v>677</v>
      </c>
      <c r="L32" s="13" t="s">
        <v>712</v>
      </c>
      <c r="M32" s="13" t="s">
        <v>593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30" x14ac:dyDescent="0.25">
      <c r="A33" s="13" t="s">
        <v>594</v>
      </c>
      <c r="B33" s="13" t="s">
        <v>294</v>
      </c>
      <c r="C33" s="13" t="s">
        <v>595</v>
      </c>
      <c r="D33" s="13" t="s">
        <v>596</v>
      </c>
      <c r="E33" s="13" t="s">
        <v>557</v>
      </c>
      <c r="F33" s="11">
        <v>6</v>
      </c>
      <c r="G33" s="11">
        <v>2</v>
      </c>
      <c r="H33" s="13" t="str">
        <f t="shared" si="0"/>
        <v>Disponible</v>
      </c>
      <c r="I33" s="13" t="s">
        <v>508</v>
      </c>
      <c r="J33" s="13" t="s">
        <v>145</v>
      </c>
      <c r="K33" s="13" t="s">
        <v>673</v>
      </c>
      <c r="L33" s="13" t="s">
        <v>688</v>
      </c>
      <c r="M33" s="13" t="s">
        <v>558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30" x14ac:dyDescent="0.25">
      <c r="A34" s="13" t="s">
        <v>597</v>
      </c>
      <c r="B34" s="13" t="s">
        <v>294</v>
      </c>
      <c r="C34" s="13" t="s">
        <v>598</v>
      </c>
      <c r="D34" s="13" t="s">
        <v>599</v>
      </c>
      <c r="E34" s="13" t="s">
        <v>557</v>
      </c>
      <c r="F34" s="11">
        <v>6</v>
      </c>
      <c r="G34" s="11">
        <v>2</v>
      </c>
      <c r="H34" s="13" t="str">
        <f t="shared" si="0"/>
        <v>Disponible</v>
      </c>
      <c r="I34" s="13" t="s">
        <v>508</v>
      </c>
      <c r="J34" s="13" t="s">
        <v>144</v>
      </c>
      <c r="K34" s="13" t="s">
        <v>676</v>
      </c>
      <c r="L34" s="13" t="s">
        <v>690</v>
      </c>
      <c r="M34" s="13" t="s">
        <v>558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30" x14ac:dyDescent="0.25">
      <c r="A35" s="13" t="s">
        <v>600</v>
      </c>
      <c r="B35" s="13" t="s">
        <v>46</v>
      </c>
      <c r="C35" s="13" t="s">
        <v>601</v>
      </c>
      <c r="D35" s="13" t="s">
        <v>602</v>
      </c>
      <c r="E35" s="13" t="s">
        <v>483</v>
      </c>
      <c r="F35" s="11">
        <v>4</v>
      </c>
      <c r="G35" s="11">
        <v>2</v>
      </c>
      <c r="H35" s="13" t="str">
        <f t="shared" si="0"/>
        <v>Disponible</v>
      </c>
      <c r="I35" s="13" t="s">
        <v>508</v>
      </c>
      <c r="J35" s="13" t="s">
        <v>145</v>
      </c>
      <c r="K35" s="13" t="s">
        <v>681</v>
      </c>
      <c r="L35" s="13" t="s">
        <v>695</v>
      </c>
      <c r="M35" s="13" t="s">
        <v>603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30" x14ac:dyDescent="0.25">
      <c r="A36" s="13" t="s">
        <v>604</v>
      </c>
      <c r="B36" s="13" t="s">
        <v>46</v>
      </c>
      <c r="C36" s="13" t="s">
        <v>605</v>
      </c>
      <c r="D36" s="13" t="s">
        <v>606</v>
      </c>
      <c r="E36" s="13" t="s">
        <v>483</v>
      </c>
      <c r="F36" s="11">
        <v>6</v>
      </c>
      <c r="G36" s="11">
        <v>2</v>
      </c>
      <c r="H36" s="13" t="str">
        <f t="shared" si="0"/>
        <v>Disponible</v>
      </c>
      <c r="I36" s="13" t="s">
        <v>607</v>
      </c>
      <c r="J36" s="13" t="s">
        <v>144</v>
      </c>
      <c r="K36" s="13" t="s">
        <v>682</v>
      </c>
      <c r="L36" s="13" t="s">
        <v>696</v>
      </c>
      <c r="M36" s="13" t="s">
        <v>608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30" x14ac:dyDescent="0.25">
      <c r="A37" s="13" t="s">
        <v>609</v>
      </c>
      <c r="B37" s="13" t="s">
        <v>11</v>
      </c>
      <c r="C37" s="13" t="s">
        <v>610</v>
      </c>
      <c r="D37" s="13" t="s">
        <v>611</v>
      </c>
      <c r="E37" s="13" t="s">
        <v>483</v>
      </c>
      <c r="F37" s="11">
        <v>2</v>
      </c>
      <c r="G37" s="11">
        <v>1</v>
      </c>
      <c r="H37" s="13" t="str">
        <f t="shared" si="0"/>
        <v>Disponible</v>
      </c>
      <c r="I37" s="13" t="s">
        <v>508</v>
      </c>
      <c r="J37" s="13" t="s">
        <v>145</v>
      </c>
      <c r="K37" s="13" t="s">
        <v>677</v>
      </c>
      <c r="L37" s="13" t="s">
        <v>713</v>
      </c>
      <c r="M37" s="13" t="s">
        <v>612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30" x14ac:dyDescent="0.25">
      <c r="A38" s="13" t="s">
        <v>613</v>
      </c>
      <c r="B38" s="13" t="s">
        <v>11</v>
      </c>
      <c r="C38" s="13" t="s">
        <v>614</v>
      </c>
      <c r="D38" s="13" t="s">
        <v>615</v>
      </c>
      <c r="E38" s="13" t="s">
        <v>483</v>
      </c>
      <c r="F38" s="11">
        <v>1</v>
      </c>
      <c r="G38" s="11">
        <v>1</v>
      </c>
      <c r="H38" s="13" t="str">
        <f t="shared" si="0"/>
        <v>Bajo Stock</v>
      </c>
      <c r="I38" s="13" t="s">
        <v>508</v>
      </c>
      <c r="J38" s="13" t="s">
        <v>171</v>
      </c>
      <c r="K38" s="13" t="s">
        <v>680</v>
      </c>
      <c r="L38" s="13" t="s">
        <v>714</v>
      </c>
      <c r="M38" s="13" t="s">
        <v>616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30" x14ac:dyDescent="0.25">
      <c r="A39" s="13" t="s">
        <v>617</v>
      </c>
      <c r="B39" s="13" t="s">
        <v>12</v>
      </c>
      <c r="C39" s="13" t="s">
        <v>618</v>
      </c>
      <c r="D39" s="13" t="s">
        <v>619</v>
      </c>
      <c r="E39" s="13" t="s">
        <v>303</v>
      </c>
      <c r="F39" s="11">
        <v>4</v>
      </c>
      <c r="G39" s="11">
        <v>2</v>
      </c>
      <c r="H39" s="13" t="str">
        <f t="shared" si="0"/>
        <v>Disponible</v>
      </c>
      <c r="I39" s="13" t="s">
        <v>508</v>
      </c>
      <c r="J39" s="13" t="s">
        <v>145</v>
      </c>
      <c r="K39" s="13" t="s">
        <v>683</v>
      </c>
      <c r="L39" s="13" t="s">
        <v>715</v>
      </c>
      <c r="M39" s="13" t="s">
        <v>620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30" x14ac:dyDescent="0.25">
      <c r="A40" s="13" t="s">
        <v>621</v>
      </c>
      <c r="B40" s="13" t="s">
        <v>12</v>
      </c>
      <c r="C40" s="13" t="s">
        <v>622</v>
      </c>
      <c r="D40" s="13" t="s">
        <v>623</v>
      </c>
      <c r="E40" s="13" t="s">
        <v>303</v>
      </c>
      <c r="F40" s="11">
        <v>2</v>
      </c>
      <c r="G40" s="11">
        <v>1</v>
      </c>
      <c r="H40" s="13" t="str">
        <f t="shared" si="0"/>
        <v>Disponible</v>
      </c>
      <c r="I40" s="13" t="s">
        <v>508</v>
      </c>
      <c r="J40" s="13" t="s">
        <v>145</v>
      </c>
      <c r="K40" s="13" t="s">
        <v>677</v>
      </c>
      <c r="L40" s="13" t="s">
        <v>716</v>
      </c>
      <c r="M40" s="13" t="s">
        <v>620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30" x14ac:dyDescent="0.25">
      <c r="A41" s="13" t="s">
        <v>624</v>
      </c>
      <c r="B41" s="13" t="s">
        <v>625</v>
      </c>
      <c r="C41" s="13" t="s">
        <v>626</v>
      </c>
      <c r="D41" s="13" t="s">
        <v>627</v>
      </c>
      <c r="E41" s="13" t="s">
        <v>576</v>
      </c>
      <c r="F41" s="11">
        <v>4</v>
      </c>
      <c r="G41" s="11">
        <v>2</v>
      </c>
      <c r="H41" s="13" t="str">
        <f t="shared" si="0"/>
        <v>Disponible</v>
      </c>
      <c r="I41" s="13" t="s">
        <v>508</v>
      </c>
      <c r="J41" s="13" t="s">
        <v>145</v>
      </c>
      <c r="K41" s="13" t="s">
        <v>681</v>
      </c>
      <c r="L41" s="13" t="s">
        <v>695</v>
      </c>
      <c r="M41" s="13" t="s">
        <v>628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30" x14ac:dyDescent="0.25">
      <c r="A42" s="13" t="s">
        <v>629</v>
      </c>
      <c r="B42" s="13" t="s">
        <v>625</v>
      </c>
      <c r="C42" s="13" t="s">
        <v>630</v>
      </c>
      <c r="D42" s="13" t="s">
        <v>631</v>
      </c>
      <c r="E42" s="13" t="s">
        <v>576</v>
      </c>
      <c r="F42" s="11">
        <v>6</v>
      </c>
      <c r="G42" s="11">
        <v>2</v>
      </c>
      <c r="H42" s="13" t="str">
        <f t="shared" si="0"/>
        <v>Disponible</v>
      </c>
      <c r="I42" s="13" t="s">
        <v>508</v>
      </c>
      <c r="J42" s="13" t="s">
        <v>144</v>
      </c>
      <c r="K42" s="13" t="s">
        <v>674</v>
      </c>
      <c r="L42" s="13" t="s">
        <v>696</v>
      </c>
      <c r="M42" s="13" t="s">
        <v>620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30" x14ac:dyDescent="0.25">
      <c r="A43" s="13" t="s">
        <v>632</v>
      </c>
      <c r="B43" s="13" t="s">
        <v>625</v>
      </c>
      <c r="C43" s="13" t="s">
        <v>633</v>
      </c>
      <c r="D43" s="13" t="s">
        <v>634</v>
      </c>
      <c r="E43" s="13" t="s">
        <v>576</v>
      </c>
      <c r="F43" s="11">
        <v>4</v>
      </c>
      <c r="G43" s="11">
        <v>2</v>
      </c>
      <c r="H43" s="13" t="str">
        <f t="shared" si="0"/>
        <v>Disponible</v>
      </c>
      <c r="I43" s="13" t="s">
        <v>508</v>
      </c>
      <c r="J43" s="13" t="s">
        <v>144</v>
      </c>
      <c r="K43" s="13" t="s">
        <v>674</v>
      </c>
      <c r="L43" s="13" t="s">
        <v>717</v>
      </c>
      <c r="M43" s="13" t="s">
        <v>620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30" x14ac:dyDescent="0.25">
      <c r="A44" s="13" t="s">
        <v>635</v>
      </c>
      <c r="B44" s="13" t="s">
        <v>636</v>
      </c>
      <c r="C44" s="13" t="s">
        <v>637</v>
      </c>
      <c r="D44" s="13" t="s">
        <v>638</v>
      </c>
      <c r="E44" s="13" t="s">
        <v>576</v>
      </c>
      <c r="F44" s="11">
        <v>4</v>
      </c>
      <c r="G44" s="11">
        <v>2</v>
      </c>
      <c r="H44" s="13" t="str">
        <f t="shared" si="0"/>
        <v>Disponible</v>
      </c>
      <c r="I44" s="13" t="s">
        <v>508</v>
      </c>
      <c r="J44" s="13" t="s">
        <v>144</v>
      </c>
      <c r="K44" s="13" t="s">
        <v>673</v>
      </c>
      <c r="L44" s="13" t="s">
        <v>699</v>
      </c>
      <c r="M44" s="13" t="s">
        <v>593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30" x14ac:dyDescent="0.25">
      <c r="A45" s="13" t="s">
        <v>639</v>
      </c>
      <c r="B45" s="13" t="s">
        <v>636</v>
      </c>
      <c r="C45" s="13" t="s">
        <v>640</v>
      </c>
      <c r="D45" s="13" t="s">
        <v>641</v>
      </c>
      <c r="E45" s="13" t="s">
        <v>576</v>
      </c>
      <c r="F45" s="11">
        <v>1</v>
      </c>
      <c r="G45" s="11">
        <v>1</v>
      </c>
      <c r="H45" s="13" t="str">
        <f t="shared" si="0"/>
        <v>Bajo Stock</v>
      </c>
      <c r="I45" s="13" t="s">
        <v>508</v>
      </c>
      <c r="J45" s="13" t="s">
        <v>171</v>
      </c>
      <c r="K45" s="13" t="s">
        <v>678</v>
      </c>
      <c r="L45" s="13" t="s">
        <v>718</v>
      </c>
      <c r="M45" s="13" t="s">
        <v>593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30" x14ac:dyDescent="0.25">
      <c r="A46" s="13" t="s">
        <v>642</v>
      </c>
      <c r="B46" s="13" t="s">
        <v>636</v>
      </c>
      <c r="C46" s="13" t="s">
        <v>643</v>
      </c>
      <c r="D46" s="13" t="s">
        <v>644</v>
      </c>
      <c r="E46" s="13" t="s">
        <v>576</v>
      </c>
      <c r="F46" s="11">
        <v>6</v>
      </c>
      <c r="G46" s="11">
        <v>2</v>
      </c>
      <c r="H46" s="13" t="str">
        <f t="shared" si="0"/>
        <v>Disponible</v>
      </c>
      <c r="I46" s="13" t="s">
        <v>508</v>
      </c>
      <c r="J46" s="13" t="s">
        <v>145</v>
      </c>
      <c r="K46" s="13" t="s">
        <v>681</v>
      </c>
      <c r="L46" s="13" t="s">
        <v>719</v>
      </c>
      <c r="M46" s="13" t="s">
        <v>645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45" x14ac:dyDescent="0.25">
      <c r="A47" s="13" t="s">
        <v>646</v>
      </c>
      <c r="B47" s="13" t="s">
        <v>58</v>
      </c>
      <c r="C47" s="13" t="s">
        <v>647</v>
      </c>
      <c r="D47" s="13" t="s">
        <v>648</v>
      </c>
      <c r="E47" s="13" t="s">
        <v>31</v>
      </c>
      <c r="F47" s="11">
        <v>10</v>
      </c>
      <c r="G47" s="11">
        <v>4</v>
      </c>
      <c r="H47" s="13" t="str">
        <f t="shared" si="0"/>
        <v>Disponible</v>
      </c>
      <c r="I47" s="13" t="s">
        <v>508</v>
      </c>
      <c r="J47" s="13" t="s">
        <v>145</v>
      </c>
      <c r="K47" s="13" t="s">
        <v>682</v>
      </c>
      <c r="L47" s="13" t="s">
        <v>720</v>
      </c>
      <c r="M47" s="13" t="s">
        <v>649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45" x14ac:dyDescent="0.25">
      <c r="A48" s="13" t="s">
        <v>650</v>
      </c>
      <c r="B48" s="13" t="s">
        <v>58</v>
      </c>
      <c r="C48" s="13" t="s">
        <v>651</v>
      </c>
      <c r="D48" s="13" t="s">
        <v>652</v>
      </c>
      <c r="E48" s="13" t="s">
        <v>31</v>
      </c>
      <c r="F48" s="11">
        <v>2</v>
      </c>
      <c r="G48" s="11">
        <v>1</v>
      </c>
      <c r="H48" s="13" t="str">
        <f t="shared" si="0"/>
        <v>Disponible</v>
      </c>
      <c r="I48" s="13" t="s">
        <v>508</v>
      </c>
      <c r="J48" s="13" t="s">
        <v>171</v>
      </c>
      <c r="K48" s="13" t="s">
        <v>675</v>
      </c>
      <c r="L48" s="13" t="s">
        <v>721</v>
      </c>
      <c r="M48" s="13" t="s">
        <v>653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45" x14ac:dyDescent="0.25">
      <c r="A49" s="13" t="s">
        <v>654</v>
      </c>
      <c r="B49" s="13" t="s">
        <v>58</v>
      </c>
      <c r="C49" s="13" t="s">
        <v>655</v>
      </c>
      <c r="D49" s="13" t="s">
        <v>656</v>
      </c>
      <c r="E49" s="13" t="s">
        <v>303</v>
      </c>
      <c r="F49" s="11">
        <v>4</v>
      </c>
      <c r="G49" s="11">
        <v>2</v>
      </c>
      <c r="H49" s="13" t="str">
        <f t="shared" si="0"/>
        <v>Disponible</v>
      </c>
      <c r="I49" s="13" t="s">
        <v>508</v>
      </c>
      <c r="J49" s="13" t="s">
        <v>144</v>
      </c>
      <c r="K49" s="13" t="s">
        <v>674</v>
      </c>
      <c r="L49" s="13" t="s">
        <v>722</v>
      </c>
      <c r="M49" s="13" t="s">
        <v>657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30" x14ac:dyDescent="0.25">
      <c r="A50" s="13" t="s">
        <v>658</v>
      </c>
      <c r="B50" s="13" t="s">
        <v>375</v>
      </c>
      <c r="C50" s="13" t="s">
        <v>659</v>
      </c>
      <c r="D50" s="13" t="s">
        <v>482</v>
      </c>
      <c r="E50" s="13" t="s">
        <v>483</v>
      </c>
      <c r="F50" s="11">
        <v>4</v>
      </c>
      <c r="G50" s="11">
        <v>2</v>
      </c>
      <c r="H50" s="13" t="str">
        <f t="shared" si="0"/>
        <v>Disponible</v>
      </c>
      <c r="I50" s="13" t="s">
        <v>508</v>
      </c>
      <c r="J50" s="13" t="s">
        <v>144</v>
      </c>
      <c r="K50" s="13" t="s">
        <v>673</v>
      </c>
      <c r="L50" s="13" t="s">
        <v>723</v>
      </c>
      <c r="M50" s="13" t="s">
        <v>509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30" x14ac:dyDescent="0.25">
      <c r="A51" s="13" t="s">
        <v>660</v>
      </c>
      <c r="B51" s="13" t="s">
        <v>375</v>
      </c>
      <c r="C51" s="13" t="s">
        <v>661</v>
      </c>
      <c r="D51" s="13" t="s">
        <v>662</v>
      </c>
      <c r="E51" s="13" t="s">
        <v>483</v>
      </c>
      <c r="F51" s="11">
        <v>6</v>
      </c>
      <c r="G51" s="11">
        <v>2</v>
      </c>
      <c r="H51" s="13" t="str">
        <f t="shared" si="0"/>
        <v>Disponible</v>
      </c>
      <c r="I51" s="13" t="s">
        <v>508</v>
      </c>
      <c r="J51" s="13" t="s">
        <v>144</v>
      </c>
      <c r="K51" s="13" t="s">
        <v>674</v>
      </c>
      <c r="L51" s="13" t="s">
        <v>707</v>
      </c>
      <c r="M51" s="13" t="s">
        <v>510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Tablas (criterios)</vt:lpstr>
      <vt:lpstr>Equipos</vt:lpstr>
      <vt:lpstr>Hoja3</vt:lpstr>
      <vt:lpstr>Hoja2</vt:lpstr>
      <vt:lpstr>ACA</vt:lpstr>
      <vt:lpstr>RCM-FMEA</vt:lpstr>
      <vt:lpstr>Pautas</vt:lpstr>
      <vt:lpstr>Planes</vt:lpstr>
      <vt:lpstr>BOOM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KHIARA DINATALE</dc:creator>
  <cp:lastModifiedBy>Felipe Sánchez Lizana</cp:lastModifiedBy>
  <dcterms:created xsi:type="dcterms:W3CDTF">2015-06-05T18:19:34Z</dcterms:created>
  <dcterms:modified xsi:type="dcterms:W3CDTF">2026-05-28T16:57:53Z</dcterms:modified>
</cp:coreProperties>
</file>